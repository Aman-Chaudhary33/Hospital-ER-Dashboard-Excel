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Aman\1 Practice &amp; Projects\Projects\Excel\"/>
    </mc:Choice>
  </mc:AlternateContent>
  <xr:revisionPtr revIDLastSave="0" documentId="13_ncr:1_{71F0EBAA-0BE1-4B19-8DB7-C370A9FF397A}" xr6:coauthVersionLast="47" xr6:coauthVersionMax="47" xr10:uidLastSave="{00000000-0000-0000-0000-000000000000}"/>
  <bookViews>
    <workbookView xWindow="-108" yWindow="-108" windowWidth="23256" windowHeight="12576" activeTab="1" xr2:uid="{19802424-39C9-4DBA-941A-94ED9A10F9F6}"/>
  </bookViews>
  <sheets>
    <sheet name="Pivot Report" sheetId="1" r:id="rId1"/>
    <sheet name="Dashboard" sheetId="2" r:id="rId2"/>
    <sheet name="Daily ER No. of Patient" sheetId="3" r:id="rId3"/>
  </sheets>
  <definedNames>
    <definedName name="Slicer_Date__Month">#N/A</definedName>
    <definedName name="Slic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6cdb0f5-5f64-4eec-9c6c-9207f1f9702f" name="Hospital Emergency Room Data" connection="Query - Hospital Emergency Room Data"/>
          <x15:modelTable id="Calender_Table_9e4b2f07-93a0-4ab4-9566-fa6cd6f8c2b7"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8" i="1" l="1"/>
  <c r="C48" i="1"/>
  <c r="B47" i="1"/>
  <c r="C47"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441D80-984F-4D2D-A2FF-3B8DDEE58C8C}" name="Query - Calender_Table" description="Connection to the 'Calender_Table' query in the workbook." type="100" refreshedVersion="8" minRefreshableVersion="5">
    <extLst>
      <ext xmlns:x15="http://schemas.microsoft.com/office/spreadsheetml/2010/11/main" uri="{DE250136-89BD-433C-8126-D09CA5730AF9}">
        <x15:connection id="677ca7e2-f32b-496f-b583-5d6902767ec7"/>
      </ext>
    </extLst>
  </connection>
  <connection id="2" xr16:uid="{E03B73A3-409F-489C-A471-BE18D36E690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b37b9c1-514f-4438-b07f-2bebdda502a7"/>
      </ext>
    </extLst>
  </connection>
  <connection id="3" xr16:uid="{874BD77E-9842-4662-8786-448871FA3B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<sst xmlns="http://schemas.openxmlformats.org/spreadsheetml/2006/main" count="154" uniqueCount="73">
  <si>
    <t>Distinct Count of Patient Id</t>
  </si>
  <si>
    <t>No. Of Patient</t>
  </si>
  <si>
    <t>Average of Patient Waittime</t>
  </si>
  <si>
    <t>Average of Patient Satisfaction Score</t>
  </si>
  <si>
    <t>Row Labels</t>
  </si>
  <si>
    <t>Grand Total</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</si>
  <si>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</si>
  <si>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</si>
  <si>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</si>
  <si>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</si>
  <si>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</si>
  <si>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</si>
  <si>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</si>
  <si>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</si>
  <si>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</si>
  <si>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</si>
  <si>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</si>
  <si>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</si>
  <si>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</si>
  <si>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</si>
  <si>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</si>
  <si>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</si>
  <si>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</si>
  <si>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</si>
  <si>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</si>
  <si>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</si>
  <si>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</si>
  <si>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</si>
  <si>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</si>
  <si>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</si>
  <si>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</si>
  <si>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</si>
  <si>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</si>
  <si>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</si>
  <si>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</si>
  <si>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</si>
  <si>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</si>
  <si>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Daily Trends of No. of Patient Visiting ER</t>
  </si>
  <si>
    <t>Average waittime</t>
  </si>
  <si>
    <t>Satisfication Score</t>
  </si>
  <si>
    <t>Count of Patient Admission Flag</t>
  </si>
  <si>
    <t>Admitted</t>
  </si>
  <si>
    <t>Not Admitted</t>
  </si>
  <si>
    <t>Count of Patient Admission Flag2</t>
  </si>
  <si>
    <t>Admission Status</t>
  </si>
  <si>
    <t>Patient</t>
  </si>
  <si>
    <t>% Status</t>
  </si>
  <si>
    <t>0-09</t>
  </si>
  <si>
    <t>10-19</t>
  </si>
  <si>
    <t>20-29</t>
  </si>
  <si>
    <t>30-39</t>
  </si>
  <si>
    <t>40-49</t>
  </si>
  <si>
    <t>50-59</t>
  </si>
  <si>
    <t>60-69</t>
  </si>
  <si>
    <t>70-79</t>
  </si>
  <si>
    <t>Count of Age Group</t>
  </si>
  <si>
    <t>age group wise</t>
  </si>
  <si>
    <t>Count of Patient Id</t>
  </si>
  <si>
    <t>Ontime</t>
  </si>
  <si>
    <t>Delay</t>
  </si>
  <si>
    <t>Female</t>
  </si>
  <si>
    <t>Male</t>
  </si>
  <si>
    <t>Count of Patient Gender</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</si>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</sst>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0"/>
      <name val="Calibri"/>
      <family val="2"/>
      <scheme val="minor"/>
    </font>
    <font>
      <sz val="1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rgb="FF0099FF"/>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0" fontId="1" fillId="3" borderId="0" xfId="0" applyFont="1" applyFill="1" applyAlignment="1">
      <alignment horizontal="center" vertical="center"/>
    </xf>
    <xf numFmtId="1" fontId="0" fillId="0" borderId="0" xfId="0" applyNumberFormat="1"/>
    <xf numFmtId="0" fontId="0" fillId="3" borderId="0" xfId="0" applyFill="1" applyAlignment="1">
      <alignment horizontal="center" vertical="center"/>
    </xf>
    <xf numFmtId="10" fontId="1" fillId="3" borderId="0" xfId="0" applyNumberFormat="1" applyFont="1" applyFill="1" applyAlignment="1">
      <alignment horizontal="center" vertical="center"/>
    </xf>
    <xf numFmtId="0" fontId="2" fillId="3" borderId="0" xfId="0" applyFont="1" applyFill="1" applyAlignment="1">
      <alignment horizontal="center" vertical="center"/>
    </xf>
    <xf numFmtId="9" fontId="2" fillId="3" borderId="0" xfId="0" applyNumberFormat="1" applyFont="1" applyFill="1" applyAlignment="1">
      <alignment horizontal="center" vertical="center"/>
    </xf>
  </cellXfs>
  <cellStyles count="1">
    <cellStyle name="Normal" xfId="0" builtinId="0"/>
  </cellStyles>
  <dxfs count="13">
    <dxf>
      <numFmt numFmtId="1" formatCode="0"/>
    </dxf>
    <dxf>
      <numFmt numFmtId="2" formatCode="0.00"/>
    </dxf>
    <dxf>
      <numFmt numFmtId="1" formatCode="0"/>
    </dxf>
    <dxf>
      <numFmt numFmtId="14"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font>
        <b/>
        <color theme="1"/>
      </font>
      <border>
        <bottom style="thin">
          <color theme="4"/>
        </bottom>
        <vertical/>
        <horizontal/>
      </border>
    </dxf>
    <dxf>
      <font>
        <sz val="11"/>
        <color theme="1"/>
      </font>
      <fill>
        <patternFill>
          <bgColor rgb="FF0099FF"/>
        </patternFill>
      </fill>
      <border diagonalUp="0" diagonalDown="0">
        <left/>
        <right/>
        <top/>
        <bottom/>
        <vertical/>
        <horizontal/>
      </border>
    </dxf>
  </dxfs>
  <tableStyles count="1" defaultTableStyle="TableStyleMedium2" defaultPivotStyle="PivotStyleLight16">
    <tableStyle name="My Style" pivot="0" table="0" count="10" xr9:uid="{EC02C14B-3DE8-4CC4-AE3E-7C3E9AE44AFC}">
      <tableStyleElement type="wholeTable" dxfId="12"/>
      <tableStyleElement type="headerRow" dxfId="11"/>
    </tableStyle>
  </tableStyles>
  <colors>
    <mruColors>
      <color rgb="FF0099FF"/>
      <color rgb="FF33CCFF"/>
      <color rgb="FF1B0878"/>
      <color rgb="FF321C6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Report!PivotTable7</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01718213058417E-2"/>
          <c:y val="0.13732833957553059"/>
          <c:w val="0.81099656357388317"/>
          <c:h val="0.50911360799001248"/>
        </c:manualLayout>
      </c:layout>
      <c:areaChart>
        <c:grouping val="standard"/>
        <c:varyColors val="0"/>
        <c:ser>
          <c:idx val="0"/>
          <c:order val="0"/>
          <c:tx>
            <c:strRef>
              <c:f>'Pivot Report'!$D$3</c:f>
              <c:strCache>
                <c:ptCount val="1"/>
                <c:pt idx="0">
                  <c:v>Total</c:v>
                </c:pt>
              </c:strCache>
            </c:strRef>
          </c:tx>
          <c:spPr>
            <a:solidFill>
              <a:schemeClr val="accent1"/>
            </a:solidFill>
            <a:ln w="25400">
              <a:noFill/>
            </a:ln>
            <a:effectLst/>
          </c:spPr>
          <c:cat>
            <c:strRef>
              <c:f>'Pivot Report'!$C$4:$C$35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Report'!$D$4:$D$35</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2-05CF-4940-821C-B9D2C40ACCC5}"/>
            </c:ext>
          </c:extLst>
        </c:ser>
        <c:dLbls>
          <c:showLegendKey val="0"/>
          <c:showVal val="0"/>
          <c:showCatName val="0"/>
          <c:showSerName val="0"/>
          <c:showPercent val="0"/>
          <c:showBubbleSize val="0"/>
        </c:dLbls>
        <c:axId val="1132967616"/>
        <c:axId val="1132972896"/>
      </c:areaChart>
      <c:catAx>
        <c:axId val="113296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32972896"/>
        <c:crosses val="autoZero"/>
        <c:auto val="1"/>
        <c:lblAlgn val="ctr"/>
        <c:lblOffset val="100"/>
        <c:noMultiLvlLbl val="0"/>
      </c:catAx>
      <c:valAx>
        <c:axId val="113297289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32967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Report!PivotTable2</c:name>
    <c:fmtId val="16"/>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Report'!$I$3</c:f>
              <c:strCache>
                <c:ptCount val="1"/>
                <c:pt idx="0">
                  <c:v>Total</c:v>
                </c:pt>
              </c:strCache>
            </c:strRef>
          </c:tx>
          <c:spPr>
            <a:solidFill>
              <a:schemeClr val="accent1"/>
            </a:solidFill>
            <a:ln w="25400">
              <a:noFill/>
            </a:ln>
            <a:effectLst/>
          </c:spPr>
          <c:cat>
            <c:strRef>
              <c:f>'Pivot Report'!$H$4:$H$35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Report'!$I$4:$I$35</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2-E094-4968-A677-62BC6B827538}"/>
            </c:ext>
          </c:extLst>
        </c:ser>
        <c:dLbls>
          <c:showLegendKey val="0"/>
          <c:showVal val="0"/>
          <c:showCatName val="0"/>
          <c:showSerName val="0"/>
          <c:showPercent val="0"/>
          <c:showBubbleSize val="0"/>
        </c:dLbls>
        <c:axId val="2001755696"/>
        <c:axId val="2001774896"/>
      </c:areaChart>
      <c:catAx>
        <c:axId val="2001755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774896"/>
        <c:crosses val="autoZero"/>
        <c:auto val="1"/>
        <c:lblAlgn val="ctr"/>
        <c:lblOffset val="100"/>
        <c:noMultiLvlLbl val="0"/>
      </c:catAx>
      <c:valAx>
        <c:axId val="200177489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0017556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Report!PivotTable4</c:name>
    <c:fmtId val="16"/>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Report'!$M$3</c:f>
              <c:strCache>
                <c:ptCount val="1"/>
                <c:pt idx="0">
                  <c:v>Total</c:v>
                </c:pt>
              </c:strCache>
            </c:strRef>
          </c:tx>
          <c:spPr>
            <a:solidFill>
              <a:schemeClr val="accent1"/>
            </a:solidFill>
            <a:ln w="25400">
              <a:noFill/>
            </a:ln>
            <a:effectLst/>
          </c:spPr>
          <c:cat>
            <c:strRef>
              <c:f>'Pivot Report'!$L$4:$L$35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Report'!$M$4:$M$35</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2-6B3A-43E6-9512-8A56D43B3B31}"/>
            </c:ext>
          </c:extLst>
        </c:ser>
        <c:dLbls>
          <c:showLegendKey val="0"/>
          <c:showVal val="0"/>
          <c:showCatName val="0"/>
          <c:showSerName val="0"/>
          <c:showPercent val="0"/>
          <c:showBubbleSize val="0"/>
        </c:dLbls>
        <c:axId val="1133014176"/>
        <c:axId val="1133007456"/>
      </c:areaChart>
      <c:catAx>
        <c:axId val="1133014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007456"/>
        <c:crosses val="autoZero"/>
        <c:auto val="1"/>
        <c:lblAlgn val="ctr"/>
        <c:lblOffset val="100"/>
        <c:noMultiLvlLbl val="0"/>
      </c:catAx>
      <c:valAx>
        <c:axId val="113300745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133014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4E0FD5D2-1FFC-44F0-B1B6-8453BE1E118E}"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82A92121-6380-4439-983B-AD525DAB304A}"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1.5360983102918587E-2"/>
          <c:y val="4.5454329521027077E-2"/>
          <c:w val="0.98463901689708144"/>
          <c:h val="0.94644006603246988"/>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C1F7-4020-B3E6-E382EC25B29E}"/>
              </c:ext>
            </c:extLst>
          </c:dPt>
          <c:dPt>
            <c:idx val="1"/>
            <c:invertIfNegative val="0"/>
            <c:bubble3D val="0"/>
            <c:extLst>
              <c:ext xmlns:c16="http://schemas.microsoft.com/office/drawing/2014/chart" uri="{C3380CC4-5D6E-409C-BE32-E72D297353CC}">
                <c16:uniqueId val="{00000001-C1F7-4020-B3E6-E382EC25B29E}"/>
              </c:ext>
            </c:extLst>
          </c:dPt>
          <c:dLbls>
            <c:dLbl>
              <c:idx val="0"/>
              <c:tx>
                <c:rich>
                  <a:bodyPr/>
                  <a:lstStyle/>
                  <a:p>
                    <a:fld id="{4E0FD5D2-1FFC-44F0-B1B6-8453BE1E118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1F7-4020-B3E6-E382EC25B29E}"/>
                </c:ext>
              </c:extLst>
            </c:dLbl>
            <c:dLbl>
              <c:idx val="1"/>
              <c:tx>
                <c:rich>
                  <a:bodyPr/>
                  <a:lstStyle/>
                  <a:p>
                    <a:fld id="{82A92121-6380-4439-983B-AD525DAB304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1F7-4020-B3E6-E382EC25B29E}"/>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Report'!$A$41:$A$43</c:f>
              <c:strCache>
                <c:ptCount val="2"/>
                <c:pt idx="0">
                  <c:v>Admitted</c:v>
                </c:pt>
                <c:pt idx="1">
                  <c:v>Not Admitted</c:v>
                </c:pt>
              </c:strCache>
            </c:strRef>
          </c:cat>
          <c:val>
            <c:numRef>
              <c:f>'Pivot Report'!$B$41:$B$43</c:f>
              <c:numCache>
                <c:formatCode>0.00</c:formatCode>
                <c:ptCount val="2"/>
                <c:pt idx="0">
                  <c:v>253</c:v>
                </c:pt>
                <c:pt idx="1">
                  <c:v>253</c:v>
                </c:pt>
              </c:numCache>
            </c:numRef>
          </c:val>
          <c:extLst>
            <c:ext xmlns:c16="http://schemas.microsoft.com/office/drawing/2014/chart" uri="{C3380CC4-5D6E-409C-BE32-E72D297353CC}">
              <c16:uniqueId val="{00000005-7330-4192-B5EC-60C57C3D74BE}"/>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0.5</c:v>
                </c:pt>
                <c:pt idx="1">
                  <c:v>0.5</c:v>
                </c:pt>
              </c:numCache>
            </c:numRef>
          </c:val>
          <c:extLst>
            <c:ext xmlns:c16="http://schemas.microsoft.com/office/drawing/2014/chart" uri="{C3380CC4-5D6E-409C-BE32-E72D297353CC}">
              <c16:uniqueId val="{00000006-7330-4192-B5EC-60C57C3D74BE}"/>
            </c:ext>
          </c:extLst>
        </c:ser>
        <c:dLbls>
          <c:showLegendKey val="0"/>
          <c:showVal val="0"/>
          <c:showCatName val="0"/>
          <c:showSerName val="0"/>
          <c:showPercent val="0"/>
          <c:showBubbleSize val="0"/>
        </c:dLbls>
        <c:gapWidth val="0"/>
        <c:overlap val="-39"/>
        <c:axId val="2143010160"/>
        <c:axId val="2143020720"/>
      </c:barChart>
      <c:catAx>
        <c:axId val="2143010160"/>
        <c:scaling>
          <c:orientation val="minMax"/>
        </c:scaling>
        <c:delete val="1"/>
        <c:axPos val="l"/>
        <c:numFmt formatCode="General" sourceLinked="1"/>
        <c:majorTickMark val="none"/>
        <c:minorTickMark val="none"/>
        <c:tickLblPos val="nextTo"/>
        <c:crossAx val="2143020720"/>
        <c:crosses val="autoZero"/>
        <c:auto val="1"/>
        <c:lblAlgn val="ctr"/>
        <c:lblOffset val="100"/>
        <c:noMultiLvlLbl val="0"/>
      </c:catAx>
      <c:valAx>
        <c:axId val="2143020720"/>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214301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Report!PivotTable8</c:name>
    <c:fmtId val="3"/>
  </c:pivotSource>
  <c:chart>
    <c:autoTitleDeleted val="1"/>
    <c:pivotFmts>
      <c:pivotFmt>
        <c:idx val="0"/>
        <c:spPr>
          <a:solidFill>
            <a:schemeClr val="tx1">
              <a:lumMod val="95000"/>
              <a:lumOff val="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8253968253968E-2"/>
          <c:y val="5.5555555555555552E-2"/>
          <c:w val="0.91269841269841268"/>
          <c:h val="0.8416746864975212"/>
        </c:manualLayout>
      </c:layout>
      <c:barChart>
        <c:barDir val="col"/>
        <c:grouping val="clustered"/>
        <c:varyColors val="0"/>
        <c:ser>
          <c:idx val="0"/>
          <c:order val="0"/>
          <c:tx>
            <c:strRef>
              <c:f>'Pivot Report'!$B$53</c:f>
              <c:strCache>
                <c:ptCount val="1"/>
                <c:pt idx="0">
                  <c:v>Total</c:v>
                </c:pt>
              </c:strCache>
            </c:strRef>
          </c:tx>
          <c:spPr>
            <a:solidFill>
              <a:schemeClr val="tx1">
                <a:lumMod val="95000"/>
                <a:lumOff val="5000"/>
              </a:schemeClr>
            </a:solidFill>
            <a:ln>
              <a:solidFill>
                <a:schemeClr val="tx1">
                  <a:lumMod val="95000"/>
                  <a:lumOff val="5000"/>
                </a:schemeClr>
              </a:solidFill>
            </a:ln>
            <a:effectLst/>
          </c:spPr>
          <c:invertIfNegative val="0"/>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64</c:v>
                </c:pt>
                <c:pt idx="1">
                  <c:v>66</c:v>
                </c:pt>
                <c:pt idx="2">
                  <c:v>65</c:v>
                </c:pt>
                <c:pt idx="3">
                  <c:v>73</c:v>
                </c:pt>
                <c:pt idx="4">
                  <c:v>45</c:v>
                </c:pt>
                <c:pt idx="5">
                  <c:v>72</c:v>
                </c:pt>
                <c:pt idx="6">
                  <c:v>97</c:v>
                </c:pt>
                <c:pt idx="7">
                  <c:v>24</c:v>
                </c:pt>
              </c:numCache>
            </c:numRef>
          </c:val>
          <c:extLst>
            <c:ext xmlns:c16="http://schemas.microsoft.com/office/drawing/2014/chart" uri="{C3380CC4-5D6E-409C-BE32-E72D297353CC}">
              <c16:uniqueId val="{00000002-9012-4E3E-989B-F7A52B947BE8}"/>
            </c:ext>
          </c:extLst>
        </c:ser>
        <c:dLbls>
          <c:showLegendKey val="0"/>
          <c:showVal val="0"/>
          <c:showCatName val="0"/>
          <c:showSerName val="0"/>
          <c:showPercent val="0"/>
          <c:showBubbleSize val="0"/>
        </c:dLbls>
        <c:gapWidth val="219"/>
        <c:overlap val="-27"/>
        <c:axId val="2143038480"/>
        <c:axId val="2143045680"/>
      </c:barChart>
      <c:catAx>
        <c:axId val="214303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045680"/>
        <c:crosses val="autoZero"/>
        <c:auto val="1"/>
        <c:lblAlgn val="ctr"/>
        <c:lblOffset val="100"/>
        <c:noMultiLvlLbl val="0"/>
      </c:catAx>
      <c:valAx>
        <c:axId val="2143045680"/>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214303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BA-480F-AD82-38F3BE3854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BA-480F-AD82-38F3BE385424}"/>
              </c:ext>
            </c:extLst>
          </c:dPt>
          <c:cat>
            <c:strRef>
              <c:f>'Pivot Report'!$A$69:$A$71</c:f>
              <c:strCache>
                <c:ptCount val="2"/>
                <c:pt idx="0">
                  <c:v>Delay</c:v>
                </c:pt>
                <c:pt idx="1">
                  <c:v>Ontime</c:v>
                </c:pt>
              </c:strCache>
            </c:strRef>
          </c:cat>
          <c:val>
            <c:numRef>
              <c:f>'Pivot Report'!$B$69:$B$71</c:f>
              <c:numCache>
                <c:formatCode>0</c:formatCode>
                <c:ptCount val="2"/>
                <c:pt idx="0">
                  <c:v>312</c:v>
                </c:pt>
                <c:pt idx="1">
                  <c:v>194</c:v>
                </c:pt>
              </c:numCache>
            </c:numRef>
          </c:val>
          <c:extLst>
            <c:ext xmlns:c16="http://schemas.microsoft.com/office/drawing/2014/chart" uri="{C3380CC4-5D6E-409C-BE32-E72D297353CC}">
              <c16:uniqueId val="{00000002-FEB0-4754-A6B4-674596788F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Report!PivotTable12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Report'!$B$78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04-4ABB-A2CA-06925B8381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04-4ABB-A2CA-06925B8381E4}"/>
              </c:ext>
            </c:extLst>
          </c:dPt>
          <c:cat>
            <c:strRef>
              <c:f>'Pivot Report'!$A$79:$A$81</c:f>
              <c:strCache>
                <c:ptCount val="2"/>
                <c:pt idx="0">
                  <c:v>Female</c:v>
                </c:pt>
                <c:pt idx="1">
                  <c:v>Male</c:v>
                </c:pt>
              </c:strCache>
            </c:strRef>
          </c:cat>
          <c:val>
            <c:numRef>
              <c:f>'Pivot Report'!$B$79:$B$81</c:f>
              <c:numCache>
                <c:formatCode>0</c:formatCode>
                <c:ptCount val="2"/>
                <c:pt idx="0">
                  <c:v>231</c:v>
                </c:pt>
                <c:pt idx="1">
                  <c:v>275</c:v>
                </c:pt>
              </c:numCache>
            </c:numRef>
          </c:val>
          <c:extLst>
            <c:ext xmlns:c16="http://schemas.microsoft.com/office/drawing/2014/chart" uri="{C3380CC4-5D6E-409C-BE32-E72D297353CC}">
              <c16:uniqueId val="{00000002-BC45-4A6B-B1DC-983454706F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Report!PivotTable13</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Report'!$B$94</c:f>
              <c:strCache>
                <c:ptCount val="1"/>
                <c:pt idx="0">
                  <c:v>Total</c:v>
                </c:pt>
              </c:strCache>
            </c:strRef>
          </c:tx>
          <c:spPr>
            <a:solidFill>
              <a:schemeClr val="accent1"/>
            </a:solidFill>
            <a:ln>
              <a:noFill/>
            </a:ln>
            <a:effectLst/>
          </c:spPr>
          <c:invertIfNegative val="0"/>
          <c:cat>
            <c:strRef>
              <c:f>'Pivot Report'!$A$95:$A$103</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Report'!$B$95:$B$103</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2-35A3-47F6-B667-AE4B506B63A8}"/>
            </c:ext>
          </c:extLst>
        </c:ser>
        <c:dLbls>
          <c:showLegendKey val="0"/>
          <c:showVal val="0"/>
          <c:showCatName val="0"/>
          <c:showSerName val="0"/>
          <c:showPercent val="0"/>
          <c:showBubbleSize val="0"/>
        </c:dLbls>
        <c:gapWidth val="182"/>
        <c:axId val="1132974816"/>
        <c:axId val="1132958016"/>
      </c:barChart>
      <c:catAx>
        <c:axId val="113297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958016"/>
        <c:crosses val="autoZero"/>
        <c:auto val="1"/>
        <c:lblAlgn val="ctr"/>
        <c:lblOffset val="100"/>
        <c:noMultiLvlLbl val="0"/>
      </c:catAx>
      <c:valAx>
        <c:axId val="11329580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97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[Hospital_ER_Dashboard_Portfolio.xlsx]Pivot Report!PivotTable7</c:name>
    <c:fmtId val="3"/>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44742350244225E-3"/>
          <c:y val="0.29949067177413635"/>
          <c:w val="0.99832552576497557"/>
          <c:h val="0.6712761580478116"/>
        </c:manualLayout>
      </c:layout>
      <c:areaChart>
        <c:grouping val="standard"/>
        <c:varyColors val="0"/>
        <c:ser>
          <c:idx val="0"/>
          <c:order val="0"/>
          <c:tx>
            <c:strRef>
              <c:f>'Pivot Report'!$D$3</c:f>
              <c:strCache>
                <c:ptCount val="1"/>
                <c:pt idx="0">
                  <c:v>Total</c:v>
                </c:pt>
              </c:strCache>
            </c:strRef>
          </c:tx>
          <c:spPr>
            <a:solidFill>
              <a:schemeClr val="tx1">
                <a:lumMod val="65000"/>
                <a:lumOff val="35000"/>
              </a:schemeClr>
            </a:solidFill>
            <a:ln w="25400">
              <a:noFill/>
            </a:ln>
            <a:effectLst/>
          </c:spPr>
          <c:cat>
            <c:strRef>
              <c:f>'Pivot Report'!$C$4:$C$35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Report'!$D$4:$D$35</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1-0132-4EB3-886B-0FF64F1E1DBB}"/>
            </c:ext>
          </c:extLst>
        </c:ser>
        <c:dLbls>
          <c:showLegendKey val="0"/>
          <c:showVal val="0"/>
          <c:showCatName val="0"/>
          <c:showSerName val="0"/>
          <c:showPercent val="0"/>
          <c:showBubbleSize val="0"/>
        </c:dLbls>
        <c:axId val="1132967616"/>
        <c:axId val="1132972896"/>
      </c:areaChart>
      <c:catAx>
        <c:axId val="1132967616"/>
        <c:scaling>
          <c:orientation val="minMax"/>
        </c:scaling>
        <c:delete val="1"/>
        <c:axPos val="b"/>
        <c:numFmt formatCode="General" sourceLinked="1"/>
        <c:majorTickMark val="out"/>
        <c:minorTickMark val="none"/>
        <c:tickLblPos val="nextTo"/>
        <c:crossAx val="1132972896"/>
        <c:crosses val="autoZero"/>
        <c:auto val="1"/>
        <c:lblAlgn val="ctr"/>
        <c:lblOffset val="100"/>
        <c:noMultiLvlLbl val="0"/>
      </c:catAx>
      <c:valAx>
        <c:axId val="113297289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32967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113744075829384"/>
          <c:w val="1"/>
          <c:h val="0.79146919431279616"/>
        </c:manualLayout>
      </c:layout>
      <c:areaChart>
        <c:grouping val="standard"/>
        <c:varyColors val="0"/>
        <c:ser>
          <c:idx val="0"/>
          <c:order val="0"/>
          <c:tx>
            <c:strRef>
              <c:f>'Pivot Report'!$I$3</c:f>
              <c:strCache>
                <c:ptCount val="1"/>
                <c:pt idx="0">
                  <c:v>Total</c:v>
                </c:pt>
              </c:strCache>
            </c:strRef>
          </c:tx>
          <c:spPr>
            <a:solidFill>
              <a:schemeClr val="tx1">
                <a:lumMod val="65000"/>
                <a:lumOff val="35000"/>
              </a:schemeClr>
            </a:solidFill>
            <a:ln w="25400">
              <a:noFill/>
            </a:ln>
            <a:effectLst/>
          </c:spPr>
          <c:cat>
            <c:strRef>
              <c:f>'Pivot Report'!$H$4:$H$35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Report'!$I$4:$I$35</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1-6759-41A4-8127-2A5360EF8937}"/>
            </c:ext>
          </c:extLst>
        </c:ser>
        <c:dLbls>
          <c:showLegendKey val="0"/>
          <c:showVal val="0"/>
          <c:showCatName val="0"/>
          <c:showSerName val="0"/>
          <c:showPercent val="0"/>
          <c:showBubbleSize val="0"/>
        </c:dLbls>
        <c:axId val="2001755696"/>
        <c:axId val="2001774896"/>
      </c:areaChart>
      <c:catAx>
        <c:axId val="2001755696"/>
        <c:scaling>
          <c:orientation val="minMax"/>
        </c:scaling>
        <c:delete val="1"/>
        <c:axPos val="b"/>
        <c:numFmt formatCode="General" sourceLinked="1"/>
        <c:majorTickMark val="out"/>
        <c:minorTickMark val="none"/>
        <c:tickLblPos val="nextTo"/>
        <c:crossAx val="2001774896"/>
        <c:crosses val="autoZero"/>
        <c:auto val="1"/>
        <c:lblAlgn val="ctr"/>
        <c:lblOffset val="100"/>
        <c:noMultiLvlLbl val="0"/>
      </c:catAx>
      <c:valAx>
        <c:axId val="200177489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0017556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5.0925925925925923E-2"/>
          <c:w val="0.99444444444444446"/>
          <c:h val="0.94444444444444442"/>
        </c:manualLayout>
      </c:layout>
      <c:areaChart>
        <c:grouping val="standard"/>
        <c:varyColors val="0"/>
        <c:ser>
          <c:idx val="0"/>
          <c:order val="0"/>
          <c:tx>
            <c:strRef>
              <c:f>'Pivot Report'!$M$3</c:f>
              <c:strCache>
                <c:ptCount val="1"/>
                <c:pt idx="0">
                  <c:v>Total</c:v>
                </c:pt>
              </c:strCache>
            </c:strRef>
          </c:tx>
          <c:spPr>
            <a:solidFill>
              <a:schemeClr val="tx1">
                <a:lumMod val="65000"/>
                <a:lumOff val="35000"/>
              </a:schemeClr>
            </a:solidFill>
            <a:ln w="25400">
              <a:noFill/>
            </a:ln>
            <a:effectLst/>
          </c:spPr>
          <c:cat>
            <c:strRef>
              <c:f>'Pivot Report'!$L$4:$L$35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Report'!$M$4:$M$35</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1-2434-41E4-9877-F1DC1CD5A6DC}"/>
            </c:ext>
          </c:extLst>
        </c:ser>
        <c:dLbls>
          <c:showLegendKey val="0"/>
          <c:showVal val="0"/>
          <c:showCatName val="0"/>
          <c:showSerName val="0"/>
          <c:showPercent val="0"/>
          <c:showBubbleSize val="0"/>
        </c:dLbls>
        <c:axId val="1133014176"/>
        <c:axId val="1133007456"/>
      </c:areaChart>
      <c:catAx>
        <c:axId val="1133014176"/>
        <c:scaling>
          <c:orientation val="minMax"/>
        </c:scaling>
        <c:delete val="1"/>
        <c:axPos val="b"/>
        <c:numFmt formatCode="General" sourceLinked="1"/>
        <c:majorTickMark val="out"/>
        <c:minorTickMark val="none"/>
        <c:tickLblPos val="nextTo"/>
        <c:crossAx val="1133007456"/>
        <c:crosses val="autoZero"/>
        <c:auto val="1"/>
        <c:lblAlgn val="ctr"/>
        <c:lblOffset val="100"/>
        <c:noMultiLvlLbl val="0"/>
      </c:catAx>
      <c:valAx>
        <c:axId val="113300745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133014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Report!PivotTable8</c:name>
    <c:fmtId val="6"/>
  </c:pivotSource>
  <c:chart>
    <c:autoTitleDeleted val="1"/>
    <c:pivotFmts>
      <c:pivotFmt>
        <c:idx val="0"/>
        <c:spPr>
          <a:solidFill>
            <a:schemeClr val="tx1">
              <a:lumMod val="95000"/>
              <a:lumOff val="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54644808743168E-2"/>
          <c:y val="4.878048780487805E-2"/>
          <c:w val="0.93989071038251371"/>
          <c:h val="0.63852045323602846"/>
        </c:manualLayout>
      </c:layout>
      <c:barChart>
        <c:barDir val="col"/>
        <c:grouping val="clustered"/>
        <c:varyColors val="0"/>
        <c:ser>
          <c:idx val="0"/>
          <c:order val="0"/>
          <c:tx>
            <c:strRef>
              <c:f>'Pivot Report'!$B$53</c:f>
              <c:strCache>
                <c:ptCount val="1"/>
                <c:pt idx="0">
                  <c:v>Total</c:v>
                </c:pt>
              </c:strCache>
            </c:strRef>
          </c:tx>
          <c:spPr>
            <a:solidFill>
              <a:schemeClr val="tx1">
                <a:lumMod val="95000"/>
                <a:lumOff val="5000"/>
              </a:schemeClr>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64</c:v>
                </c:pt>
                <c:pt idx="1">
                  <c:v>66</c:v>
                </c:pt>
                <c:pt idx="2">
                  <c:v>65</c:v>
                </c:pt>
                <c:pt idx="3">
                  <c:v>73</c:v>
                </c:pt>
                <c:pt idx="4">
                  <c:v>45</c:v>
                </c:pt>
                <c:pt idx="5">
                  <c:v>72</c:v>
                </c:pt>
                <c:pt idx="6">
                  <c:v>97</c:v>
                </c:pt>
                <c:pt idx="7">
                  <c:v>24</c:v>
                </c:pt>
              </c:numCache>
            </c:numRef>
          </c:val>
          <c:extLst>
            <c:ext xmlns:c16="http://schemas.microsoft.com/office/drawing/2014/chart" uri="{C3380CC4-5D6E-409C-BE32-E72D297353CC}">
              <c16:uniqueId val="{00000001-5D72-4A20-BFE0-72F4092D13AE}"/>
            </c:ext>
          </c:extLst>
        </c:ser>
        <c:dLbls>
          <c:showLegendKey val="0"/>
          <c:showVal val="0"/>
          <c:showCatName val="0"/>
          <c:showSerName val="0"/>
          <c:showPercent val="0"/>
          <c:showBubbleSize val="0"/>
        </c:dLbls>
        <c:gapWidth val="219"/>
        <c:overlap val="-27"/>
        <c:axId val="2143038480"/>
        <c:axId val="2143045680"/>
      </c:barChart>
      <c:catAx>
        <c:axId val="214303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143045680"/>
        <c:crosses val="autoZero"/>
        <c:auto val="1"/>
        <c:lblAlgn val="ctr"/>
        <c:lblOffset val="100"/>
        <c:noMultiLvlLbl val="0"/>
      </c:catAx>
      <c:valAx>
        <c:axId val="2143045680"/>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214303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4.0014016572535761E-2"/>
          <c:y val="0.21666364195181922"/>
          <c:w val="0.9359681741353012"/>
          <c:h val="0.66457219799197964"/>
        </c:manualLayout>
      </c:layout>
      <c:pie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27B7-4EA1-A463-7D73BA210CB2}"/>
              </c:ext>
            </c:extLst>
          </c:dPt>
          <c:dPt>
            <c:idx val="1"/>
            <c:bubble3D val="0"/>
            <c:spPr>
              <a:solidFill>
                <a:schemeClr val="accent2"/>
              </a:solidFill>
              <a:ln>
                <a:noFill/>
              </a:ln>
              <a:effectLst/>
            </c:spPr>
            <c:extLst>
              <c:ext xmlns:c16="http://schemas.microsoft.com/office/drawing/2014/chart" uri="{C3380CC4-5D6E-409C-BE32-E72D297353CC}">
                <c16:uniqueId val="{00000003-27B7-4EA1-A463-7D73BA210CB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312</c:v>
                </c:pt>
                <c:pt idx="1">
                  <c:v>194</c:v>
                </c:pt>
              </c:numCache>
            </c:numRef>
          </c:val>
          <c:extLst>
            <c:ext xmlns:c16="http://schemas.microsoft.com/office/drawing/2014/chart" uri="{C3380CC4-5D6E-409C-BE32-E72D297353CC}">
              <c16:uniqueId val="{00000005-6926-4100-A39C-ADF4BE09AE9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0547883085294985E-2"/>
          <c:y val="2.736616502818804E-2"/>
          <c:w val="0.8582602959970318"/>
          <c:h val="0.15236826165960024"/>
        </c:manualLayout>
      </c:layout>
      <c:overlay val="0"/>
      <c:spPr>
        <a:solidFill>
          <a:srgbClr val="0099FF"/>
        </a:solidFill>
        <a:ln>
          <a:solidFill>
            <a:srgbClr val="0099FF"/>
          </a:solid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Report!PivotTable12</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5.0983301000418424E-2"/>
          <c:y val="0.18701814447107154"/>
          <c:w val="0.88743809197763324"/>
          <c:h val="0.72608571161806357"/>
        </c:manualLayout>
      </c:layout>
      <c:doughnutChart>
        <c:varyColors val="1"/>
        <c:ser>
          <c:idx val="0"/>
          <c:order val="0"/>
          <c:tx>
            <c:strRef>
              <c:f>'Pivot Report'!$B$78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11E-4DFD-A692-A59127A44C7F}"/>
              </c:ext>
            </c:extLst>
          </c:dPt>
          <c:dPt>
            <c:idx val="1"/>
            <c:bubble3D val="0"/>
            <c:spPr>
              <a:solidFill>
                <a:schemeClr val="accent2"/>
              </a:solidFill>
              <a:ln>
                <a:noFill/>
              </a:ln>
              <a:effectLst/>
            </c:spPr>
            <c:extLst>
              <c:ext xmlns:c16="http://schemas.microsoft.com/office/drawing/2014/chart" uri="{C3380CC4-5D6E-409C-BE32-E72D297353CC}">
                <c16:uniqueId val="{00000003-D11E-4DFD-A692-A59127A44C7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c:formatCode>
                <c:ptCount val="2"/>
                <c:pt idx="0">
                  <c:v>231</c:v>
                </c:pt>
                <c:pt idx="1">
                  <c:v>275</c:v>
                </c:pt>
              </c:numCache>
            </c:numRef>
          </c:val>
          <c:extLst>
            <c:ext xmlns:c16="http://schemas.microsoft.com/office/drawing/2014/chart" uri="{C3380CC4-5D6E-409C-BE32-E72D297353CC}">
              <c16:uniqueId val="{00000005-4770-4F17-8D10-DB18273BCC3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9.6359694168663725E-3"/>
          <c:y val="4.645948017559752E-2"/>
          <c:w val="0.92116778880900752"/>
          <c:h val="9.88214526281559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Report!PivotTable13</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Report'!$B$94</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Report'!$A$95:$A$103</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Report'!$B$95:$B$103</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1-F924-4599-89AD-7E330EE0291B}"/>
            </c:ext>
          </c:extLst>
        </c:ser>
        <c:dLbls>
          <c:showLegendKey val="0"/>
          <c:showVal val="0"/>
          <c:showCatName val="0"/>
          <c:showSerName val="0"/>
          <c:showPercent val="0"/>
          <c:showBubbleSize val="0"/>
        </c:dLbls>
        <c:gapWidth val="115"/>
        <c:overlap val="-20"/>
        <c:axId val="1132974816"/>
        <c:axId val="1132958016"/>
      </c:barChart>
      <c:catAx>
        <c:axId val="11329748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2958016"/>
        <c:crosses val="autoZero"/>
        <c:auto val="1"/>
        <c:lblAlgn val="ctr"/>
        <c:lblOffset val="100"/>
        <c:noMultiLvlLbl val="0"/>
      </c:catAx>
      <c:valAx>
        <c:axId val="1132958016"/>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13297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[Hospital_ER_Dashboard_Portfolio.xlsx]Pivot Report!PivotTable7</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01718213058417E-2"/>
          <c:y val="0.13732833957553059"/>
          <c:w val="0.81099656357388317"/>
          <c:h val="0.50911360799001248"/>
        </c:manualLayout>
      </c:layout>
      <c:areaChart>
        <c:grouping val="standard"/>
        <c:varyColors val="0"/>
        <c:ser>
          <c:idx val="0"/>
          <c:order val="0"/>
          <c:tx>
            <c:strRef>
              <c:f>'Pivot Report'!$D$3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Report'!$C$4:$C$35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Report'!$D$4:$D$35</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1-2B23-4770-A4AF-CC7BDE02F52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32967616"/>
        <c:axId val="1132972896"/>
      </c:areaChart>
      <c:catAx>
        <c:axId val="11329676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32972896"/>
        <c:crosses val="autoZero"/>
        <c:auto val="1"/>
        <c:lblAlgn val="ctr"/>
        <c:lblOffset val="100"/>
        <c:noMultiLvlLbl val="0"/>
      </c:catAx>
      <c:valAx>
        <c:axId val="113297289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2967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15.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205740</xdr:colOff>
      <xdr:row>12</xdr:row>
      <xdr:rowOff>175260</xdr:rowOff>
    </xdr:from>
    <xdr:to>
      <xdr:col>0</xdr:col>
      <xdr:colOff>2034540</xdr:colOff>
      <xdr:row>26</xdr:row>
      <xdr:rowOff>81915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C42691F6-0F4D-0CE9-A916-92260705E88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05740" y="2369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22860</xdr:colOff>
      <xdr:row>17</xdr:row>
      <xdr:rowOff>11430</xdr:rowOff>
    </xdr:from>
    <xdr:to>
      <xdr:col>1</xdr:col>
      <xdr:colOff>1844040</xdr:colOff>
      <xdr:row>23</xdr:row>
      <xdr:rowOff>15240</xdr:rowOff>
    </xdr:to>
    <xdr:graphicFrame macro="">
      <xdr:nvGraphicFramePr>
        <xdr:cNvPr id="3" name="Chart 2">
          <a:extLst>
            <a:ext uri="{FF2B5EF4-FFF2-40B4-BE49-F238E27FC236}">
              <a16:creationId xmlns:a16="http://schemas.microsoft.com/office/drawing/2014/main" id="{779956AA-F709-5B10-7593-31EBBC615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320040</xdr:colOff>
      <xdr:row>7</xdr:row>
      <xdr:rowOff>160020</xdr:rowOff>
    </xdr:from>
    <xdr:to>
      <xdr:col>6</xdr:col>
      <xdr:colOff>556260</xdr:colOff>
      <xdr:row>13</xdr:row>
      <xdr:rowOff>156210</xdr:rowOff>
    </xdr:to>
    <xdr:graphicFrame macro="">
      <xdr:nvGraphicFramePr>
        <xdr:cNvPr id="4" name="Chart 3">
          <a:extLst>
            <a:ext uri="{FF2B5EF4-FFF2-40B4-BE49-F238E27FC236}">
              <a16:creationId xmlns:a16="http://schemas.microsoft.com/office/drawing/2014/main" id="{29BC6F30-AB6A-1C27-1BCA-A7490BA21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472440</xdr:colOff>
      <xdr:row>7</xdr:row>
      <xdr:rowOff>3810</xdr:rowOff>
    </xdr:from>
    <xdr:to>
      <xdr:col>12</xdr:col>
      <xdr:colOff>388620</xdr:colOff>
      <xdr:row>22</xdr:row>
      <xdr:rowOff>3810</xdr:rowOff>
    </xdr:to>
    <xdr:graphicFrame macro="">
      <xdr:nvGraphicFramePr>
        <xdr:cNvPr id="5" name="Chart 4">
          <a:extLst>
            <a:ext uri="{FF2B5EF4-FFF2-40B4-BE49-F238E27FC236}">
              <a16:creationId xmlns:a16="http://schemas.microsoft.com/office/drawing/2014/main" id="{F6D1F04C-2A93-0FD2-4DAE-D8E3347BE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944880</xdr:colOff>
      <xdr:row>46</xdr:row>
      <xdr:rowOff>7620</xdr:rowOff>
    </xdr:from>
    <xdr:to>
      <xdr:col>4</xdr:col>
      <xdr:colOff>0</xdr:colOff>
      <xdr:row>48</xdr:row>
      <xdr:rowOff>0</xdr:rowOff>
    </xdr:to>
    <xdr:graphicFrame macro="">
      <xdr:nvGraphicFramePr>
        <xdr:cNvPr id="6" name="Chart 5">
          <a:extLst>
            <a:ext uri="{FF2B5EF4-FFF2-40B4-BE49-F238E27FC236}">
              <a16:creationId xmlns:a16="http://schemas.microsoft.com/office/drawing/2014/main" id="{AB26E522-1EE7-83D9-CC72-7EF10F51E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716280</xdr:colOff>
      <xdr:row>48</xdr:row>
      <xdr:rowOff>156210</xdr:rowOff>
    </xdr:from>
    <xdr:to>
      <xdr:col>6</xdr:col>
      <xdr:colOff>198120</xdr:colOff>
      <xdr:row>63</xdr:row>
      <xdr:rowOff>156210</xdr:rowOff>
    </xdr:to>
    <xdr:graphicFrame macro="">
      <xdr:nvGraphicFramePr>
        <xdr:cNvPr id="7" name="Chart 6">
          <a:extLst>
            <a:ext uri="{FF2B5EF4-FFF2-40B4-BE49-F238E27FC236}">
              <a16:creationId xmlns:a16="http://schemas.microsoft.com/office/drawing/2014/main" id="{ACC0330C-AC9F-29B3-EA69-CA37DE544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182880</xdr:colOff>
      <xdr:row>67</xdr:row>
      <xdr:rowOff>68580</xdr:rowOff>
    </xdr:from>
    <xdr:to>
      <xdr:col>4</xdr:col>
      <xdr:colOff>0</xdr:colOff>
      <xdr:row>72</xdr:row>
      <xdr:rowOff>140970</xdr:rowOff>
    </xdr:to>
    <xdr:graphicFrame macro="">
      <xdr:nvGraphicFramePr>
        <xdr:cNvPr id="8" name="Chart 7">
          <a:extLst>
            <a:ext uri="{FF2B5EF4-FFF2-40B4-BE49-F238E27FC236}">
              <a16:creationId xmlns:a16="http://schemas.microsoft.com/office/drawing/2014/main" id="{A7232F01-EF6B-EC18-3F85-29D0F95C6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198120</xdr:colOff>
      <xdr:row>77</xdr:row>
      <xdr:rowOff>68580</xdr:rowOff>
    </xdr:from>
    <xdr:to>
      <xdr:col>5</xdr:col>
      <xdr:colOff>365760</xdr:colOff>
      <xdr:row>89</xdr:row>
      <xdr:rowOff>26670</xdr:rowOff>
    </xdr:to>
    <xdr:graphicFrame macro="">
      <xdr:nvGraphicFramePr>
        <xdr:cNvPr id="9" name="Chart 8">
          <a:extLst>
            <a:ext uri="{FF2B5EF4-FFF2-40B4-BE49-F238E27FC236}">
              <a16:creationId xmlns:a16="http://schemas.microsoft.com/office/drawing/2014/main" id="{16FCD911-F08F-4A4A-0A18-C1BEB188F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853440</xdr:colOff>
      <xdr:row>91</xdr:row>
      <xdr:rowOff>80010</xdr:rowOff>
    </xdr:from>
    <xdr:to>
      <xdr:col>8</xdr:col>
      <xdr:colOff>236220</xdr:colOff>
      <xdr:row>106</xdr:row>
      <xdr:rowOff>80010</xdr:rowOff>
    </xdr:to>
    <xdr:graphicFrame macro="">
      <xdr:nvGraphicFramePr>
        <xdr:cNvPr id="10" name="Chart 9">
          <a:extLst>
            <a:ext uri="{FF2B5EF4-FFF2-40B4-BE49-F238E27FC236}">
              <a16:creationId xmlns:a16="http://schemas.microsoft.com/office/drawing/2014/main" id="{DE0E9E20-6369-248C-267B-FBB84A960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312420</xdr:colOff>
      <xdr:row>109</xdr:row>
      <xdr:rowOff>144781</xdr:rowOff>
    </xdr:from>
    <xdr:to>
      <xdr:col>4</xdr:col>
      <xdr:colOff>502920</xdr:colOff>
      <xdr:row>116</xdr:row>
      <xdr:rowOff>144781</xdr:rowOff>
    </xdr:to>
    <mc:AlternateContent xmlns:mc="http://schemas.openxmlformats.org/markup-compatibility/2006" xmlns:a14="http://schemas.microsoft.com/office/drawing/2010/main">
      <mc:Choice Requires="a14">
        <xdr:graphicFrame macro="">
          <xdr:nvGraphicFramePr>
            <xdr:cNvPr id="11" name="Date (Year)">
              <a:extLst>
                <a:ext uri="{FF2B5EF4-FFF2-40B4-BE49-F238E27FC236}">
                  <a16:creationId xmlns:a16="http://schemas.microsoft.com/office/drawing/2014/main" id="{D15AFAEB-6BB2-0068-2A59-94C7EC8108C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32960" y="2007870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106680</xdr:colOff>
      <xdr:row>0</xdr:row>
      <xdr:rowOff>114300</xdr:rowOff>
    </xdr:from>
    <xdr:to>
      <xdr:col>7</xdr:col>
      <xdr:colOff>508000</xdr:colOff>
      <xdr:row>4</xdr:row>
      <xdr:rowOff>152400</xdr:rowOff>
    </xdr:to>
    <xdr:sp macro="" textlink="">
      <xdr:nvSpPr>
        <xdr:cNvPr id="2" name="Rectangle: Rounded Corners 1">
          <a:extLst>
            <a:ext uri="{FF2B5EF4-FFF2-40B4-BE49-F238E27FC236}">
              <a16:creationId xmlns:a16="http://schemas.microsoft.com/office/drawing/2014/main" id="{64F7956B-E538-9508-6B94-79A6D60B8C5F}"/>
            </a:ext>
          </a:extLst>
        </xdr:cNvPr>
        <xdr:cNvSpPr/>
      </xdr:nvSpPr>
      <xdr:spPr>
        <a:xfrm>
          <a:off x="106680" y="114300"/>
          <a:ext cx="4668520" cy="774700"/>
        </a:xfrm>
        <a:prstGeom prst="roundRect">
          <a:avLst>
            <a:gd name="adj" fmla="val 18680"/>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CCFF"/>
            </a:solidFill>
          </a:endParaRPr>
        </a:p>
      </xdr:txBody>
    </xdr:sp>
    <xdr:clientData/>
  </xdr:twoCellAnchor>
  <xdr:twoCellAnchor editAs="absolute">
    <xdr:from>
      <xdr:col>7</xdr:col>
      <xdr:colOff>586740</xdr:colOff>
      <xdr:row>0</xdr:row>
      <xdr:rowOff>137160</xdr:rowOff>
    </xdr:from>
    <xdr:to>
      <xdr:col>10</xdr:col>
      <xdr:colOff>152400</xdr:colOff>
      <xdr:row>4</xdr:row>
      <xdr:rowOff>144780</xdr:rowOff>
    </xdr:to>
    <xdr:sp macro="" textlink="">
      <xdr:nvSpPr>
        <xdr:cNvPr id="3" name="Rectangle: Rounded Corners 2">
          <a:extLst>
            <a:ext uri="{FF2B5EF4-FFF2-40B4-BE49-F238E27FC236}">
              <a16:creationId xmlns:a16="http://schemas.microsoft.com/office/drawing/2014/main" id="{200F6EFA-5F70-336D-44EE-C5477CC3743F}"/>
            </a:ext>
          </a:extLst>
        </xdr:cNvPr>
        <xdr:cNvSpPr/>
      </xdr:nvSpPr>
      <xdr:spPr>
        <a:xfrm>
          <a:off x="4853940" y="137160"/>
          <a:ext cx="1394460" cy="744220"/>
        </a:xfrm>
        <a:prstGeom prst="roundRect">
          <a:avLst>
            <a:gd name="adj" fmla="val 8371"/>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294640</xdr:colOff>
      <xdr:row>0</xdr:row>
      <xdr:rowOff>110490</xdr:rowOff>
    </xdr:from>
    <xdr:to>
      <xdr:col>12</xdr:col>
      <xdr:colOff>447040</xdr:colOff>
      <xdr:row>10</xdr:row>
      <xdr:rowOff>57150</xdr:rowOff>
    </xdr:to>
    <xdr:sp macro="" textlink="">
      <xdr:nvSpPr>
        <xdr:cNvPr id="4" name="Rectangle: Rounded Corners 3">
          <a:extLst>
            <a:ext uri="{FF2B5EF4-FFF2-40B4-BE49-F238E27FC236}">
              <a16:creationId xmlns:a16="http://schemas.microsoft.com/office/drawing/2014/main" id="{114999D2-E00C-1F91-1CEB-9685D6CA0BF9}"/>
            </a:ext>
          </a:extLst>
        </xdr:cNvPr>
        <xdr:cNvSpPr/>
      </xdr:nvSpPr>
      <xdr:spPr>
        <a:xfrm>
          <a:off x="6390640" y="110490"/>
          <a:ext cx="1371600" cy="1788160"/>
        </a:xfrm>
        <a:prstGeom prst="roundRect">
          <a:avLst>
            <a:gd name="adj" fmla="val 9791"/>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585469</xdr:colOff>
      <xdr:row>5</xdr:row>
      <xdr:rowOff>101600</xdr:rowOff>
    </xdr:from>
    <xdr:to>
      <xdr:col>7</xdr:col>
      <xdr:colOff>260350</xdr:colOff>
      <xdr:row>10</xdr:row>
      <xdr:rowOff>38100</xdr:rowOff>
    </xdr:to>
    <xdr:sp macro="" textlink="">
      <xdr:nvSpPr>
        <xdr:cNvPr id="5" name="Rectangle: Rounded Corners 4">
          <a:extLst>
            <a:ext uri="{FF2B5EF4-FFF2-40B4-BE49-F238E27FC236}">
              <a16:creationId xmlns:a16="http://schemas.microsoft.com/office/drawing/2014/main" id="{06AFD56E-376A-CF8F-10B0-C2E647A4387D}"/>
            </a:ext>
          </a:extLst>
        </xdr:cNvPr>
        <xdr:cNvSpPr/>
      </xdr:nvSpPr>
      <xdr:spPr>
        <a:xfrm>
          <a:off x="3023869" y="1022350"/>
          <a:ext cx="1503681" cy="857250"/>
        </a:xfrm>
        <a:prstGeom prst="roundRect">
          <a:avLst>
            <a:gd name="adj" fmla="val 7340"/>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370840</xdr:colOff>
      <xdr:row>5</xdr:row>
      <xdr:rowOff>95250</xdr:rowOff>
    </xdr:from>
    <xdr:to>
      <xdr:col>10</xdr:col>
      <xdr:colOff>165100</xdr:colOff>
      <xdr:row>10</xdr:row>
      <xdr:rowOff>19050</xdr:rowOff>
    </xdr:to>
    <xdr:sp macro="" textlink="">
      <xdr:nvSpPr>
        <xdr:cNvPr id="6" name="Rectangle: Rounded Corners 5">
          <a:extLst>
            <a:ext uri="{FF2B5EF4-FFF2-40B4-BE49-F238E27FC236}">
              <a16:creationId xmlns:a16="http://schemas.microsoft.com/office/drawing/2014/main" id="{DE79A065-C64E-70DF-2277-A70DB553F34C}"/>
            </a:ext>
          </a:extLst>
        </xdr:cNvPr>
        <xdr:cNvSpPr/>
      </xdr:nvSpPr>
      <xdr:spPr>
        <a:xfrm>
          <a:off x="4638040" y="1016000"/>
          <a:ext cx="1623060" cy="844550"/>
        </a:xfrm>
        <a:prstGeom prst="roundRect">
          <a:avLst>
            <a:gd name="adj" fmla="val 7340"/>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137160</xdr:colOff>
      <xdr:row>5</xdr:row>
      <xdr:rowOff>83820</xdr:rowOff>
    </xdr:from>
    <xdr:to>
      <xdr:col>2</xdr:col>
      <xdr:colOff>114300</xdr:colOff>
      <xdr:row>23</xdr:row>
      <xdr:rowOff>69850</xdr:rowOff>
    </xdr:to>
    <xdr:sp macro="" textlink="">
      <xdr:nvSpPr>
        <xdr:cNvPr id="7" name="Rectangle: Rounded Corners 6">
          <a:extLst>
            <a:ext uri="{FF2B5EF4-FFF2-40B4-BE49-F238E27FC236}">
              <a16:creationId xmlns:a16="http://schemas.microsoft.com/office/drawing/2014/main" id="{DA746022-DEA2-453A-06EB-6FBB6760CB76}"/>
            </a:ext>
          </a:extLst>
        </xdr:cNvPr>
        <xdr:cNvSpPr/>
      </xdr:nvSpPr>
      <xdr:spPr>
        <a:xfrm>
          <a:off x="137160" y="1004570"/>
          <a:ext cx="1196340" cy="3300730"/>
        </a:xfrm>
        <a:prstGeom prst="roundRect">
          <a:avLst>
            <a:gd name="adj" fmla="val 9555"/>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190501</xdr:colOff>
      <xdr:row>5</xdr:row>
      <xdr:rowOff>115570</xdr:rowOff>
    </xdr:from>
    <xdr:to>
      <xdr:col>4</xdr:col>
      <xdr:colOff>495301</xdr:colOff>
      <xdr:row>10</xdr:row>
      <xdr:rowOff>38100</xdr:rowOff>
    </xdr:to>
    <xdr:sp macro="" textlink="">
      <xdr:nvSpPr>
        <xdr:cNvPr id="8" name="Rectangle: Rounded Corners 7">
          <a:extLst>
            <a:ext uri="{FF2B5EF4-FFF2-40B4-BE49-F238E27FC236}">
              <a16:creationId xmlns:a16="http://schemas.microsoft.com/office/drawing/2014/main" id="{6D2635ED-ECA9-F5C6-D079-68CB2FF77757}"/>
            </a:ext>
          </a:extLst>
        </xdr:cNvPr>
        <xdr:cNvSpPr/>
      </xdr:nvSpPr>
      <xdr:spPr>
        <a:xfrm>
          <a:off x="1409701" y="1036320"/>
          <a:ext cx="1524000" cy="843280"/>
        </a:xfrm>
        <a:prstGeom prst="roundRect">
          <a:avLst>
            <a:gd name="adj" fmla="val 8371"/>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525780</xdr:colOff>
      <xdr:row>0</xdr:row>
      <xdr:rowOff>110490</xdr:rowOff>
    </xdr:from>
    <xdr:to>
      <xdr:col>15</xdr:col>
      <xdr:colOff>68580</xdr:colOff>
      <xdr:row>10</xdr:row>
      <xdr:rowOff>63500</xdr:rowOff>
    </xdr:to>
    <xdr:sp macro="" textlink="">
      <xdr:nvSpPr>
        <xdr:cNvPr id="9" name="Rectangle: Rounded Corners 8">
          <a:extLst>
            <a:ext uri="{FF2B5EF4-FFF2-40B4-BE49-F238E27FC236}">
              <a16:creationId xmlns:a16="http://schemas.microsoft.com/office/drawing/2014/main" id="{92A77055-F393-BB27-05BF-351C36CC98CB}"/>
            </a:ext>
          </a:extLst>
        </xdr:cNvPr>
        <xdr:cNvSpPr/>
      </xdr:nvSpPr>
      <xdr:spPr>
        <a:xfrm>
          <a:off x="7840980" y="110490"/>
          <a:ext cx="1371600" cy="1794510"/>
        </a:xfrm>
        <a:prstGeom prst="roundRect">
          <a:avLst>
            <a:gd name="adj" fmla="val 8124"/>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196850</xdr:colOff>
      <xdr:row>10</xdr:row>
      <xdr:rowOff>152400</xdr:rowOff>
    </xdr:from>
    <xdr:to>
      <xdr:col>10</xdr:col>
      <xdr:colOff>171450</xdr:colOff>
      <xdr:row>14</xdr:row>
      <xdr:rowOff>160020</xdr:rowOff>
    </xdr:to>
    <xdr:sp macro="" textlink="">
      <xdr:nvSpPr>
        <xdr:cNvPr id="13" name="Rectangle: Rounded Corners 12">
          <a:extLst>
            <a:ext uri="{FF2B5EF4-FFF2-40B4-BE49-F238E27FC236}">
              <a16:creationId xmlns:a16="http://schemas.microsoft.com/office/drawing/2014/main" id="{2831E409-DEF7-40AC-B54D-5431E45A9737}"/>
            </a:ext>
          </a:extLst>
        </xdr:cNvPr>
        <xdr:cNvSpPr/>
      </xdr:nvSpPr>
      <xdr:spPr>
        <a:xfrm>
          <a:off x="1416050" y="1993900"/>
          <a:ext cx="4851400" cy="744220"/>
        </a:xfrm>
        <a:prstGeom prst="roundRect">
          <a:avLst>
            <a:gd name="adj" fmla="val 16120"/>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209550</xdr:colOff>
      <xdr:row>15</xdr:row>
      <xdr:rowOff>120650</xdr:rowOff>
    </xdr:from>
    <xdr:to>
      <xdr:col>10</xdr:col>
      <xdr:colOff>177800</xdr:colOff>
      <xdr:row>23</xdr:row>
      <xdr:rowOff>69850</xdr:rowOff>
    </xdr:to>
    <xdr:sp macro="" textlink="">
      <xdr:nvSpPr>
        <xdr:cNvPr id="15" name="Rectangle: Rounded Corners 14">
          <a:extLst>
            <a:ext uri="{FF2B5EF4-FFF2-40B4-BE49-F238E27FC236}">
              <a16:creationId xmlns:a16="http://schemas.microsoft.com/office/drawing/2014/main" id="{30BBFE9C-1A6F-4FAA-B46D-370502972399}"/>
            </a:ext>
          </a:extLst>
        </xdr:cNvPr>
        <xdr:cNvSpPr/>
      </xdr:nvSpPr>
      <xdr:spPr>
        <a:xfrm>
          <a:off x="1428750" y="2882900"/>
          <a:ext cx="4845050" cy="1422400"/>
        </a:xfrm>
        <a:prstGeom prst="roundRect">
          <a:avLst>
            <a:gd name="adj" fmla="val 18680"/>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303530</xdr:colOff>
      <xdr:row>10</xdr:row>
      <xdr:rowOff>177800</xdr:rowOff>
    </xdr:from>
    <xdr:to>
      <xdr:col>15</xdr:col>
      <xdr:colOff>101600</xdr:colOff>
      <xdr:row>23</xdr:row>
      <xdr:rowOff>63500</xdr:rowOff>
    </xdr:to>
    <xdr:sp macro="" textlink="">
      <xdr:nvSpPr>
        <xdr:cNvPr id="20" name="Rectangle: Rounded Corners 19">
          <a:extLst>
            <a:ext uri="{FF2B5EF4-FFF2-40B4-BE49-F238E27FC236}">
              <a16:creationId xmlns:a16="http://schemas.microsoft.com/office/drawing/2014/main" id="{BD1C1D66-D4A0-DA33-AB1C-3D9FE6AB7926}"/>
            </a:ext>
          </a:extLst>
        </xdr:cNvPr>
        <xdr:cNvSpPr/>
      </xdr:nvSpPr>
      <xdr:spPr>
        <a:xfrm>
          <a:off x="6399530" y="2019300"/>
          <a:ext cx="2846070" cy="2279650"/>
        </a:xfrm>
        <a:prstGeom prst="roundRect">
          <a:avLst>
            <a:gd name="adj" fmla="val 8124"/>
          </a:avLst>
        </a:prstGeom>
        <a:solidFill>
          <a:srgbClr val="00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247650</xdr:colOff>
      <xdr:row>1</xdr:row>
      <xdr:rowOff>63500</xdr:rowOff>
    </xdr:from>
    <xdr:to>
      <xdr:col>7</xdr:col>
      <xdr:colOff>184150</xdr:colOff>
      <xdr:row>2</xdr:row>
      <xdr:rowOff>127000</xdr:rowOff>
    </xdr:to>
    <xdr:sp macro="" textlink="">
      <xdr:nvSpPr>
        <xdr:cNvPr id="21" name="TextBox 20">
          <a:extLst>
            <a:ext uri="{FF2B5EF4-FFF2-40B4-BE49-F238E27FC236}">
              <a16:creationId xmlns:a16="http://schemas.microsoft.com/office/drawing/2014/main" id="{99730F49-EBB6-52D6-C91F-C4A006DB5729}"/>
            </a:ext>
          </a:extLst>
        </xdr:cNvPr>
        <xdr:cNvSpPr txBox="1"/>
      </xdr:nvSpPr>
      <xdr:spPr>
        <a:xfrm>
          <a:off x="857250" y="247650"/>
          <a:ext cx="35941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a:t>Hospital Emergency Room</a:t>
          </a:r>
          <a:r>
            <a:rPr lang="en-IN" sz="1800" baseline="0"/>
            <a:t> Dashboard</a:t>
          </a:r>
          <a:endParaRPr lang="en-IN" sz="1800"/>
        </a:p>
      </xdr:txBody>
    </xdr:sp>
    <xdr:clientData/>
  </xdr:twoCellAnchor>
  <xdr:twoCellAnchor editAs="oneCell">
    <xdr:from>
      <xdr:col>0</xdr:col>
      <xdr:colOff>158750</xdr:colOff>
      <xdr:row>0</xdr:row>
      <xdr:rowOff>158750</xdr:rowOff>
    </xdr:from>
    <xdr:to>
      <xdr:col>1</xdr:col>
      <xdr:colOff>241300</xdr:colOff>
      <xdr:row>4</xdr:row>
      <xdr:rowOff>82550</xdr:rowOff>
    </xdr:to>
    <xdr:pic>
      <xdr:nvPicPr>
        <xdr:cNvPr id="23" name="Picture 22">
          <a:extLst>
            <a:ext uri="{FF2B5EF4-FFF2-40B4-BE49-F238E27FC236}">
              <a16:creationId xmlns:a16="http://schemas.microsoft.com/office/drawing/2014/main" id="{AD268044-5B0E-6264-0D55-7C11BEA5FC8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446" t="8889" r="16327" b="14074"/>
        <a:stretch>
          <a:fillRect/>
        </a:stretch>
      </xdr:blipFill>
      <xdr:spPr>
        <a:xfrm>
          <a:off x="158750" y="158750"/>
          <a:ext cx="692150" cy="660400"/>
        </a:xfrm>
        <a:prstGeom prst="rect">
          <a:avLst/>
        </a:prstGeom>
      </xdr:spPr>
    </xdr:pic>
    <xdr:clientData/>
  </xdr:twoCellAnchor>
  <xdr:twoCellAnchor>
    <xdr:from>
      <xdr:col>1</xdr:col>
      <xdr:colOff>412750</xdr:colOff>
      <xdr:row>4</xdr:row>
      <xdr:rowOff>44450</xdr:rowOff>
    </xdr:from>
    <xdr:to>
      <xdr:col>6</xdr:col>
      <xdr:colOff>431800</xdr:colOff>
      <xdr:row>7</xdr:row>
      <xdr:rowOff>114300</xdr:rowOff>
    </xdr:to>
    <xdr:sp macro="" textlink="">
      <xdr:nvSpPr>
        <xdr:cNvPr id="27" name="Rectangle 26">
          <a:extLst>
            <a:ext uri="{FF2B5EF4-FFF2-40B4-BE49-F238E27FC236}">
              <a16:creationId xmlns:a16="http://schemas.microsoft.com/office/drawing/2014/main" id="{955EE0B8-11C5-8938-6F3C-9699297317D4}"/>
            </a:ext>
          </a:extLst>
        </xdr:cNvPr>
        <xdr:cNvSpPr/>
      </xdr:nvSpPr>
      <xdr:spPr>
        <a:xfrm>
          <a:off x="1022350" y="781050"/>
          <a:ext cx="3067050" cy="622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234950</xdr:colOff>
      <xdr:row>2</xdr:row>
      <xdr:rowOff>158750</xdr:rowOff>
    </xdr:from>
    <xdr:to>
      <xdr:col>5</xdr:col>
      <xdr:colOff>139700</xdr:colOff>
      <xdr:row>4</xdr:row>
      <xdr:rowOff>44450</xdr:rowOff>
    </xdr:to>
    <xdr:sp macro="" textlink="">
      <xdr:nvSpPr>
        <xdr:cNvPr id="28" name="Rectangle 27">
          <a:extLst>
            <a:ext uri="{FF2B5EF4-FFF2-40B4-BE49-F238E27FC236}">
              <a16:creationId xmlns:a16="http://schemas.microsoft.com/office/drawing/2014/main" id="{BBED5526-2A98-A752-81C8-3C77FCFE2F65}"/>
            </a:ext>
          </a:extLst>
        </xdr:cNvPr>
        <xdr:cNvSpPr/>
      </xdr:nvSpPr>
      <xdr:spPr>
        <a:xfrm>
          <a:off x="2063750" y="527050"/>
          <a:ext cx="11239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200"/>
            <a:t>Monthly</a:t>
          </a:r>
          <a:r>
            <a:rPr lang="en-IN" sz="1400"/>
            <a:t> </a:t>
          </a:r>
          <a:r>
            <a:rPr lang="en-IN" sz="1200"/>
            <a:t>Report</a:t>
          </a:r>
          <a:endParaRPr lang="en-IN" sz="1400"/>
        </a:p>
      </xdr:txBody>
    </xdr:sp>
    <xdr:clientData/>
  </xdr:twoCellAnchor>
  <xdr:twoCellAnchor>
    <xdr:from>
      <xdr:col>2</xdr:col>
      <xdr:colOff>508000</xdr:colOff>
      <xdr:row>7</xdr:row>
      <xdr:rowOff>12700</xdr:rowOff>
    </xdr:from>
    <xdr:to>
      <xdr:col>4</xdr:col>
      <xdr:colOff>412750</xdr:colOff>
      <xdr:row>8</xdr:row>
      <xdr:rowOff>82550</xdr:rowOff>
    </xdr:to>
    <xdr:sp macro="" textlink="Dashboard!$A$4">
      <xdr:nvSpPr>
        <xdr:cNvPr id="29" name="Rectangle 28">
          <a:extLst>
            <a:ext uri="{FF2B5EF4-FFF2-40B4-BE49-F238E27FC236}">
              <a16:creationId xmlns:a16="http://schemas.microsoft.com/office/drawing/2014/main" id="{AB1ADC70-1B07-6FEC-C126-05C2A7A80AC7}"/>
            </a:ext>
          </a:extLst>
        </xdr:cNvPr>
        <xdr:cNvSpPr/>
      </xdr:nvSpPr>
      <xdr:spPr>
        <a:xfrm>
          <a:off x="1727200" y="1301750"/>
          <a:ext cx="11239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fld id="{D8CCCD44-1F39-49FE-97DE-88FF191C9A83}" type="TxLink">
            <a:rPr lang="en-US" sz="1100" b="0" i="0" u="none" strike="noStrike">
              <a:solidFill>
                <a:srgbClr val="000000"/>
              </a:solidFill>
              <a:latin typeface="Calibri"/>
              <a:cs typeface="Calibri"/>
            </a:rPr>
            <a:pPr algn="l"/>
            <a:t> </a:t>
          </a:fld>
          <a:endParaRPr lang="en-IN" sz="1400"/>
        </a:p>
      </xdr:txBody>
    </xdr:sp>
    <xdr:clientData/>
  </xdr:twoCellAnchor>
  <xdr:twoCellAnchor>
    <xdr:from>
      <xdr:col>2</xdr:col>
      <xdr:colOff>228600</xdr:colOff>
      <xdr:row>6</xdr:row>
      <xdr:rowOff>82550</xdr:rowOff>
    </xdr:from>
    <xdr:to>
      <xdr:col>4</xdr:col>
      <xdr:colOff>495300</xdr:colOff>
      <xdr:row>7</xdr:row>
      <xdr:rowOff>152400</xdr:rowOff>
    </xdr:to>
    <xdr:sp macro="" textlink="'Pivot Report'!A4">
      <xdr:nvSpPr>
        <xdr:cNvPr id="30" name="Rectangle 29">
          <a:extLst>
            <a:ext uri="{FF2B5EF4-FFF2-40B4-BE49-F238E27FC236}">
              <a16:creationId xmlns:a16="http://schemas.microsoft.com/office/drawing/2014/main" id="{0D562458-873D-5EB6-F384-628FC9092B39}"/>
            </a:ext>
          </a:extLst>
        </xdr:cNvPr>
        <xdr:cNvSpPr/>
      </xdr:nvSpPr>
      <xdr:spPr>
        <a:xfrm>
          <a:off x="1447800" y="1187450"/>
          <a:ext cx="148590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B409074B-1775-47B0-87A5-F170D44A2AD3}" type="TxLink">
            <a:rPr lang="en-US" sz="1800" b="0" i="0" u="none" strike="noStrike">
              <a:solidFill>
                <a:srgbClr val="000000"/>
              </a:solidFill>
              <a:latin typeface="Calibri"/>
              <a:cs typeface="Calibri"/>
            </a:rPr>
            <a:pPr algn="ctr"/>
            <a:t>506</a:t>
          </a:fld>
          <a:endParaRPr lang="en-IN" sz="2400"/>
        </a:p>
      </xdr:txBody>
    </xdr:sp>
    <xdr:clientData/>
  </xdr:twoCellAnchor>
  <xdr:twoCellAnchor>
    <xdr:from>
      <xdr:col>2</xdr:col>
      <xdr:colOff>228600</xdr:colOff>
      <xdr:row>7</xdr:row>
      <xdr:rowOff>6350</xdr:rowOff>
    </xdr:from>
    <xdr:to>
      <xdr:col>4</xdr:col>
      <xdr:colOff>527050</xdr:colOff>
      <xdr:row>8</xdr:row>
      <xdr:rowOff>76200</xdr:rowOff>
    </xdr:to>
    <xdr:sp macro="" textlink="Dashboard!$A$4">
      <xdr:nvSpPr>
        <xdr:cNvPr id="31" name="Rectangle 30">
          <a:extLst>
            <a:ext uri="{FF2B5EF4-FFF2-40B4-BE49-F238E27FC236}">
              <a16:creationId xmlns:a16="http://schemas.microsoft.com/office/drawing/2014/main" id="{4D5615D4-B34B-8D5E-726C-797E80391D27}"/>
            </a:ext>
          </a:extLst>
        </xdr:cNvPr>
        <xdr:cNvSpPr/>
      </xdr:nvSpPr>
      <xdr:spPr>
        <a:xfrm>
          <a:off x="1447800" y="1295400"/>
          <a:ext cx="15176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fld id="{51E06A15-279D-4D1F-B5B8-1B67F792613D}" type="TxLink">
            <a:rPr lang="en-US" sz="1100" b="0" i="0" u="none" strike="noStrike">
              <a:solidFill>
                <a:srgbClr val="000000"/>
              </a:solidFill>
              <a:latin typeface="Calibri"/>
              <a:cs typeface="Calibri"/>
            </a:rPr>
            <a:pPr algn="l"/>
            <a:t> </a:t>
          </a:fld>
          <a:endParaRPr lang="en-IN" sz="1400"/>
        </a:p>
      </xdr:txBody>
    </xdr:sp>
    <xdr:clientData/>
  </xdr:twoCellAnchor>
  <xdr:twoCellAnchor>
    <xdr:from>
      <xdr:col>2</xdr:col>
      <xdr:colOff>203200</xdr:colOff>
      <xdr:row>7</xdr:row>
      <xdr:rowOff>114300</xdr:rowOff>
    </xdr:from>
    <xdr:to>
      <xdr:col>4</xdr:col>
      <xdr:colOff>488950</xdr:colOff>
      <xdr:row>9</xdr:row>
      <xdr:rowOff>0</xdr:rowOff>
    </xdr:to>
    <xdr:sp macro="" textlink="">
      <xdr:nvSpPr>
        <xdr:cNvPr id="32" name="Rectangle 31">
          <a:extLst>
            <a:ext uri="{FF2B5EF4-FFF2-40B4-BE49-F238E27FC236}">
              <a16:creationId xmlns:a16="http://schemas.microsoft.com/office/drawing/2014/main" id="{149689D0-5C63-2048-A3C0-51A587B01D42}"/>
            </a:ext>
          </a:extLst>
        </xdr:cNvPr>
        <xdr:cNvSpPr/>
      </xdr:nvSpPr>
      <xdr:spPr>
        <a:xfrm>
          <a:off x="1422400" y="1403350"/>
          <a:ext cx="15049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200"/>
            <a:t>No.</a:t>
          </a:r>
          <a:r>
            <a:rPr lang="en-IN" sz="1200" baseline="0"/>
            <a:t> of Patient</a:t>
          </a:r>
          <a:endParaRPr lang="en-IN" sz="1400"/>
        </a:p>
      </xdr:txBody>
    </xdr:sp>
    <xdr:clientData/>
  </xdr:twoCellAnchor>
  <xdr:twoCellAnchor>
    <xdr:from>
      <xdr:col>4</xdr:col>
      <xdr:colOff>596900</xdr:colOff>
      <xdr:row>6</xdr:row>
      <xdr:rowOff>63500</xdr:rowOff>
    </xdr:from>
    <xdr:to>
      <xdr:col>7</xdr:col>
      <xdr:colOff>279400</xdr:colOff>
      <xdr:row>7</xdr:row>
      <xdr:rowOff>133350</xdr:rowOff>
    </xdr:to>
    <xdr:sp macro="" textlink="'Pivot Report'!A8">
      <xdr:nvSpPr>
        <xdr:cNvPr id="33" name="Rectangle 32">
          <a:extLst>
            <a:ext uri="{FF2B5EF4-FFF2-40B4-BE49-F238E27FC236}">
              <a16:creationId xmlns:a16="http://schemas.microsoft.com/office/drawing/2014/main" id="{4EF13DC3-56AA-5DD6-EE73-5015C573E93C}"/>
            </a:ext>
          </a:extLst>
        </xdr:cNvPr>
        <xdr:cNvSpPr/>
      </xdr:nvSpPr>
      <xdr:spPr>
        <a:xfrm>
          <a:off x="3035300" y="1168400"/>
          <a:ext cx="151130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8CF95BD9-F0B0-4AE5-98EE-A5CCC956D2F3}" type="TxLink">
            <a:rPr lang="en-US" sz="1800" b="0" i="0" u="none" strike="noStrike">
              <a:solidFill>
                <a:srgbClr val="000000"/>
              </a:solidFill>
              <a:latin typeface="Calibri"/>
              <a:cs typeface="Calibri"/>
            </a:rPr>
            <a:pPr algn="ctr"/>
            <a:t>35.88</a:t>
          </a:fld>
          <a:endParaRPr lang="en-IN" sz="4000"/>
        </a:p>
      </xdr:txBody>
    </xdr:sp>
    <xdr:clientData/>
  </xdr:twoCellAnchor>
  <xdr:twoCellAnchor>
    <xdr:from>
      <xdr:col>4</xdr:col>
      <xdr:colOff>603250</xdr:colOff>
      <xdr:row>7</xdr:row>
      <xdr:rowOff>82550</xdr:rowOff>
    </xdr:from>
    <xdr:to>
      <xdr:col>7</xdr:col>
      <xdr:colOff>273050</xdr:colOff>
      <xdr:row>8</xdr:row>
      <xdr:rowOff>152400</xdr:rowOff>
    </xdr:to>
    <xdr:sp macro="" textlink="">
      <xdr:nvSpPr>
        <xdr:cNvPr id="34" name="Rectangle 33">
          <a:extLst>
            <a:ext uri="{FF2B5EF4-FFF2-40B4-BE49-F238E27FC236}">
              <a16:creationId xmlns:a16="http://schemas.microsoft.com/office/drawing/2014/main" id="{481F4982-07D2-9E46-13AB-34382F1F7A9B}"/>
            </a:ext>
          </a:extLst>
        </xdr:cNvPr>
        <xdr:cNvSpPr/>
      </xdr:nvSpPr>
      <xdr:spPr>
        <a:xfrm>
          <a:off x="3041650" y="1371600"/>
          <a:ext cx="149860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200"/>
            <a:t>Avg</a:t>
          </a:r>
          <a:r>
            <a:rPr lang="en-IN" sz="1200" baseline="0"/>
            <a:t> Wait Time</a:t>
          </a:r>
          <a:endParaRPr lang="en-IN" sz="1400"/>
        </a:p>
      </xdr:txBody>
    </xdr:sp>
    <xdr:clientData/>
  </xdr:twoCellAnchor>
  <xdr:twoCellAnchor>
    <xdr:from>
      <xdr:col>7</xdr:col>
      <xdr:colOff>368300</xdr:colOff>
      <xdr:row>6</xdr:row>
      <xdr:rowOff>44450</xdr:rowOff>
    </xdr:from>
    <xdr:to>
      <xdr:col>10</xdr:col>
      <xdr:colOff>158750</xdr:colOff>
      <xdr:row>7</xdr:row>
      <xdr:rowOff>114300</xdr:rowOff>
    </xdr:to>
    <xdr:sp macro="" textlink="'Pivot Report'!A12">
      <xdr:nvSpPr>
        <xdr:cNvPr id="36" name="Rectangle 35">
          <a:extLst>
            <a:ext uri="{FF2B5EF4-FFF2-40B4-BE49-F238E27FC236}">
              <a16:creationId xmlns:a16="http://schemas.microsoft.com/office/drawing/2014/main" id="{9680CB18-AAED-E7F3-A5C1-BF7150E34E93}"/>
            </a:ext>
          </a:extLst>
        </xdr:cNvPr>
        <xdr:cNvSpPr/>
      </xdr:nvSpPr>
      <xdr:spPr>
        <a:xfrm>
          <a:off x="4635500" y="1149350"/>
          <a:ext cx="16192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5A0A04AC-D444-4012-B1B4-56C2ECE7BF27}" type="TxLink">
            <a:rPr lang="en-US" sz="1800" b="0" i="0" u="none" strike="noStrike">
              <a:solidFill>
                <a:srgbClr val="000000"/>
              </a:solidFill>
              <a:latin typeface="Calibri"/>
              <a:cs typeface="Calibri"/>
            </a:rPr>
            <a:pPr algn="ctr"/>
            <a:t>5.33</a:t>
          </a:fld>
          <a:endParaRPr lang="en-IN" sz="4000"/>
        </a:p>
      </xdr:txBody>
    </xdr:sp>
    <xdr:clientData/>
  </xdr:twoCellAnchor>
  <xdr:twoCellAnchor>
    <xdr:from>
      <xdr:col>7</xdr:col>
      <xdr:colOff>368300</xdr:colOff>
      <xdr:row>7</xdr:row>
      <xdr:rowOff>76200</xdr:rowOff>
    </xdr:from>
    <xdr:to>
      <xdr:col>10</xdr:col>
      <xdr:colOff>165100</xdr:colOff>
      <xdr:row>8</xdr:row>
      <xdr:rowOff>146050</xdr:rowOff>
    </xdr:to>
    <xdr:sp macro="" textlink="">
      <xdr:nvSpPr>
        <xdr:cNvPr id="37" name="Rectangle 36">
          <a:extLst>
            <a:ext uri="{FF2B5EF4-FFF2-40B4-BE49-F238E27FC236}">
              <a16:creationId xmlns:a16="http://schemas.microsoft.com/office/drawing/2014/main" id="{E8AB8148-9A39-1BB6-6D67-4472E08D4933}"/>
            </a:ext>
          </a:extLst>
        </xdr:cNvPr>
        <xdr:cNvSpPr/>
      </xdr:nvSpPr>
      <xdr:spPr>
        <a:xfrm>
          <a:off x="4635500" y="1365250"/>
          <a:ext cx="162560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200"/>
            <a:t>Patient Satisfication</a:t>
          </a:r>
          <a:r>
            <a:rPr lang="en-IN" sz="1200" baseline="0"/>
            <a:t> Score</a:t>
          </a:r>
          <a:endParaRPr lang="en-IN" sz="1400"/>
        </a:p>
      </xdr:txBody>
    </xdr:sp>
    <xdr:clientData/>
  </xdr:twoCellAnchor>
  <xdr:twoCellAnchor editAs="oneCell">
    <xdr:from>
      <xdr:col>2</xdr:col>
      <xdr:colOff>209550</xdr:colOff>
      <xdr:row>5</xdr:row>
      <xdr:rowOff>114300</xdr:rowOff>
    </xdr:from>
    <xdr:to>
      <xdr:col>3</xdr:col>
      <xdr:colOff>120650</xdr:colOff>
      <xdr:row>8</xdr:row>
      <xdr:rowOff>38100</xdr:rowOff>
    </xdr:to>
    <xdr:pic>
      <xdr:nvPicPr>
        <xdr:cNvPr id="39" name="Graphic 38" descr="Male profile">
          <a:extLst>
            <a:ext uri="{FF2B5EF4-FFF2-40B4-BE49-F238E27FC236}">
              <a16:creationId xmlns:a16="http://schemas.microsoft.com/office/drawing/2014/main" id="{1A7C1E2F-2C09-DD6A-3867-B07D334061D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28750" y="1035050"/>
          <a:ext cx="520700" cy="476250"/>
        </a:xfrm>
        <a:prstGeom prst="rect">
          <a:avLst/>
        </a:prstGeom>
      </xdr:spPr>
    </xdr:pic>
    <xdr:clientData/>
  </xdr:twoCellAnchor>
  <xdr:twoCellAnchor editAs="oneCell">
    <xdr:from>
      <xdr:col>7</xdr:col>
      <xdr:colOff>355600</xdr:colOff>
      <xdr:row>5</xdr:row>
      <xdr:rowOff>95250</xdr:rowOff>
    </xdr:from>
    <xdr:to>
      <xdr:col>8</xdr:col>
      <xdr:colOff>311150</xdr:colOff>
      <xdr:row>7</xdr:row>
      <xdr:rowOff>156178</xdr:rowOff>
    </xdr:to>
    <xdr:pic>
      <xdr:nvPicPr>
        <xdr:cNvPr id="41" name="Graphic 40" descr="Call center">
          <a:extLst>
            <a:ext uri="{FF2B5EF4-FFF2-40B4-BE49-F238E27FC236}">
              <a16:creationId xmlns:a16="http://schemas.microsoft.com/office/drawing/2014/main" id="{78757F85-3035-B6FF-9309-360B101A3F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22800" y="1016000"/>
          <a:ext cx="565150" cy="429228"/>
        </a:xfrm>
        <a:prstGeom prst="rect">
          <a:avLst/>
        </a:prstGeom>
      </xdr:spPr>
    </xdr:pic>
    <xdr:clientData/>
  </xdr:twoCellAnchor>
  <xdr:twoCellAnchor editAs="oneCell">
    <xdr:from>
      <xdr:col>4</xdr:col>
      <xdr:colOff>544591</xdr:colOff>
      <xdr:row>5</xdr:row>
      <xdr:rowOff>114300</xdr:rowOff>
    </xdr:from>
    <xdr:to>
      <xdr:col>5</xdr:col>
      <xdr:colOff>537350</xdr:colOff>
      <xdr:row>7</xdr:row>
      <xdr:rowOff>162700</xdr:rowOff>
    </xdr:to>
    <xdr:pic>
      <xdr:nvPicPr>
        <xdr:cNvPr id="43" name="Graphic 42" descr="Stopwatch">
          <a:extLst>
            <a:ext uri="{FF2B5EF4-FFF2-40B4-BE49-F238E27FC236}">
              <a16:creationId xmlns:a16="http://schemas.microsoft.com/office/drawing/2014/main" id="{E8C74D1A-5F3C-3AED-F08E-4C615342D94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82991" y="1035050"/>
          <a:ext cx="602359" cy="416700"/>
        </a:xfrm>
        <a:prstGeom prst="rect">
          <a:avLst/>
        </a:prstGeom>
      </xdr:spPr>
    </xdr:pic>
    <xdr:clientData/>
  </xdr:twoCellAnchor>
  <xdr:twoCellAnchor editAs="oneCell">
    <xdr:from>
      <xdr:col>0</xdr:col>
      <xdr:colOff>196850</xdr:colOff>
      <xdr:row>5</xdr:row>
      <xdr:rowOff>101600</xdr:rowOff>
    </xdr:from>
    <xdr:to>
      <xdr:col>2</xdr:col>
      <xdr:colOff>38100</xdr:colOff>
      <xdr:row>23</xdr:row>
      <xdr:rowOff>57150</xdr:rowOff>
    </xdr:to>
    <mc:AlternateContent xmlns:mc="http://schemas.openxmlformats.org/markup-compatibility/2006" xmlns:a14="http://schemas.microsoft.com/office/drawing/2010/main">
      <mc:Choice Requires="a14">
        <xdr:graphicFrame macro="">
          <xdr:nvGraphicFramePr>
            <xdr:cNvPr id="44" name="Date (Month) 1">
              <a:extLst>
                <a:ext uri="{FF2B5EF4-FFF2-40B4-BE49-F238E27FC236}">
                  <a16:creationId xmlns:a16="http://schemas.microsoft.com/office/drawing/2014/main" id="{BAA4EDF7-D2A0-4E4B-B54F-2EF19FC2B949}"/>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49860" y="998220"/>
              <a:ext cx="1177290" cy="331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196850</xdr:colOff>
      <xdr:row>6</xdr:row>
      <xdr:rowOff>133350</xdr:rowOff>
    </xdr:from>
    <xdr:to>
      <xdr:col>4</xdr:col>
      <xdr:colOff>482600</xdr:colOff>
      <xdr:row>10</xdr:row>
      <xdr:rowOff>57150</xdr:rowOff>
    </xdr:to>
    <xdr:graphicFrame macro="">
      <xdr:nvGraphicFramePr>
        <xdr:cNvPr id="11" name="Chart 10">
          <a:extLst>
            <a:ext uri="{FF2B5EF4-FFF2-40B4-BE49-F238E27FC236}">
              <a16:creationId xmlns:a16="http://schemas.microsoft.com/office/drawing/2014/main" id="{E60FE976-1404-4008-864C-17927C880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584200</xdr:colOff>
      <xdr:row>7</xdr:row>
      <xdr:rowOff>177800</xdr:rowOff>
    </xdr:from>
    <xdr:to>
      <xdr:col>7</xdr:col>
      <xdr:colOff>279400</xdr:colOff>
      <xdr:row>10</xdr:row>
      <xdr:rowOff>63500</xdr:rowOff>
    </xdr:to>
    <xdr:graphicFrame macro="">
      <xdr:nvGraphicFramePr>
        <xdr:cNvPr id="16" name="Chart 15">
          <a:extLst>
            <a:ext uri="{FF2B5EF4-FFF2-40B4-BE49-F238E27FC236}">
              <a16:creationId xmlns:a16="http://schemas.microsoft.com/office/drawing/2014/main" id="{19E698C8-68AC-4948-8042-F40E4E610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368300</xdr:colOff>
      <xdr:row>8</xdr:row>
      <xdr:rowOff>25400</xdr:rowOff>
    </xdr:from>
    <xdr:to>
      <xdr:col>10</xdr:col>
      <xdr:colOff>184150</xdr:colOff>
      <xdr:row>10</xdr:row>
      <xdr:rowOff>31750</xdr:rowOff>
    </xdr:to>
    <xdr:graphicFrame macro="">
      <xdr:nvGraphicFramePr>
        <xdr:cNvPr id="17" name="Chart 16">
          <a:extLst>
            <a:ext uri="{FF2B5EF4-FFF2-40B4-BE49-F238E27FC236}">
              <a16:creationId xmlns:a16="http://schemas.microsoft.com/office/drawing/2014/main" id="{7A31A067-32B0-4C96-984B-6542813F8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266700</xdr:colOff>
          <xdr:row>11</xdr:row>
          <xdr:rowOff>0</xdr:rowOff>
        </xdr:from>
        <xdr:to>
          <xdr:col>10</xdr:col>
          <xdr:colOff>107950</xdr:colOff>
          <xdr:row>14</xdr:row>
          <xdr:rowOff>107950</xdr:rowOff>
        </xdr:to>
        <xdr:pic>
          <xdr:nvPicPr>
            <xdr:cNvPr id="45" name="Picture 44">
              <a:extLst>
                <a:ext uri="{FF2B5EF4-FFF2-40B4-BE49-F238E27FC236}">
                  <a16:creationId xmlns:a16="http://schemas.microsoft.com/office/drawing/2014/main" id="{C1A5957B-1AE0-B939-A4D3-57EFF08AED3C}"/>
                </a:ext>
              </a:extLst>
            </xdr:cNvPr>
            <xdr:cNvPicPr>
              <a:picLocks noChangeAspect="1" noChangeArrowheads="1"/>
              <a:extLst>
                <a:ext uri="{84589F7E-364E-4C9E-8A38-B11213B215E9}">
                  <a14:cameraTool cellRange="'Pivot Report'!$A$46:$D$48" spid="_x0000_s2072"/>
                </a:ext>
              </a:extLst>
            </xdr:cNvPicPr>
          </xdr:nvPicPr>
          <xdr:blipFill rotWithShape="1">
            <a:blip xmlns:r="http://schemas.openxmlformats.org/officeDocument/2006/relationships" r:embed="rId11"/>
            <a:srcRect l="10027"/>
            <a:stretch>
              <a:fillRect/>
            </a:stretch>
          </xdr:blipFill>
          <xdr:spPr bwMode="auto">
            <a:xfrm>
              <a:off x="1485900" y="2025650"/>
              <a:ext cx="4718050" cy="6604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304800</xdr:colOff>
      <xdr:row>15</xdr:row>
      <xdr:rowOff>165100</xdr:rowOff>
    </xdr:from>
    <xdr:to>
      <xdr:col>10</xdr:col>
      <xdr:colOff>76200</xdr:colOff>
      <xdr:row>22</xdr:row>
      <xdr:rowOff>177800</xdr:rowOff>
    </xdr:to>
    <xdr:graphicFrame macro="">
      <xdr:nvGraphicFramePr>
        <xdr:cNvPr id="48" name="Chart 47">
          <a:extLst>
            <a:ext uri="{FF2B5EF4-FFF2-40B4-BE49-F238E27FC236}">
              <a16:creationId xmlns:a16="http://schemas.microsoft.com/office/drawing/2014/main" id="{F205BA91-F3AC-4919-8211-EAE4D8EC4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228600</xdr:colOff>
      <xdr:row>22</xdr:row>
      <xdr:rowOff>44450</xdr:rowOff>
    </xdr:from>
    <xdr:to>
      <xdr:col>7</xdr:col>
      <xdr:colOff>419100</xdr:colOff>
      <xdr:row>23</xdr:row>
      <xdr:rowOff>114300</xdr:rowOff>
    </xdr:to>
    <xdr:sp macro="" textlink="">
      <xdr:nvSpPr>
        <xdr:cNvPr id="53" name="Rectangle 52">
          <a:extLst>
            <a:ext uri="{FF2B5EF4-FFF2-40B4-BE49-F238E27FC236}">
              <a16:creationId xmlns:a16="http://schemas.microsoft.com/office/drawing/2014/main" id="{5C438326-1B74-40CB-9636-632B91C951E7}"/>
            </a:ext>
          </a:extLst>
        </xdr:cNvPr>
        <xdr:cNvSpPr/>
      </xdr:nvSpPr>
      <xdr:spPr>
        <a:xfrm>
          <a:off x="2667000" y="4095750"/>
          <a:ext cx="201930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200">
              <a:solidFill>
                <a:schemeClr val="bg1"/>
              </a:solidFill>
            </a:rPr>
            <a:t>No.</a:t>
          </a:r>
          <a:r>
            <a:rPr lang="en-IN" sz="1200" baseline="0">
              <a:solidFill>
                <a:schemeClr val="bg1"/>
              </a:solidFill>
            </a:rPr>
            <a:t> of Patient By Age Group</a:t>
          </a:r>
          <a:endParaRPr lang="en-IN" sz="1400">
            <a:solidFill>
              <a:schemeClr val="bg1"/>
            </a:solidFill>
          </a:endParaRPr>
        </a:p>
      </xdr:txBody>
    </xdr:sp>
    <xdr:clientData/>
  </xdr:twoCellAnchor>
  <xdr:twoCellAnchor>
    <xdr:from>
      <xdr:col>10</xdr:col>
      <xdr:colOff>361950</xdr:colOff>
      <xdr:row>0</xdr:row>
      <xdr:rowOff>158750</xdr:rowOff>
    </xdr:from>
    <xdr:to>
      <xdr:col>12</xdr:col>
      <xdr:colOff>355600</xdr:colOff>
      <xdr:row>10</xdr:row>
      <xdr:rowOff>25400</xdr:rowOff>
    </xdr:to>
    <xdr:graphicFrame macro="">
      <xdr:nvGraphicFramePr>
        <xdr:cNvPr id="54" name="Chart 53">
          <a:extLst>
            <a:ext uri="{FF2B5EF4-FFF2-40B4-BE49-F238E27FC236}">
              <a16:creationId xmlns:a16="http://schemas.microsoft.com/office/drawing/2014/main" id="{6EE2A362-0476-4375-9A90-CD64C5E6E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565150</xdr:colOff>
      <xdr:row>22</xdr:row>
      <xdr:rowOff>0</xdr:rowOff>
    </xdr:from>
    <xdr:to>
      <xdr:col>14</xdr:col>
      <xdr:colOff>495300</xdr:colOff>
      <xdr:row>23</xdr:row>
      <xdr:rowOff>69850</xdr:rowOff>
    </xdr:to>
    <xdr:sp macro="" textlink="">
      <xdr:nvSpPr>
        <xdr:cNvPr id="55" name="Rectangle 54">
          <a:extLst>
            <a:ext uri="{FF2B5EF4-FFF2-40B4-BE49-F238E27FC236}">
              <a16:creationId xmlns:a16="http://schemas.microsoft.com/office/drawing/2014/main" id="{A963565D-C162-0B70-B827-0A83854E1FFF}"/>
            </a:ext>
          </a:extLst>
        </xdr:cNvPr>
        <xdr:cNvSpPr/>
      </xdr:nvSpPr>
      <xdr:spPr>
        <a:xfrm>
          <a:off x="6661150" y="4051300"/>
          <a:ext cx="23685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050" baseline="0"/>
            <a:t>No. of Patient by </a:t>
          </a:r>
          <a:r>
            <a:rPr lang="en-IN" sz="1200" baseline="0"/>
            <a:t>Department</a:t>
          </a:r>
          <a:r>
            <a:rPr lang="en-IN" sz="1050" baseline="0"/>
            <a:t> Referals</a:t>
          </a:r>
          <a:endParaRPr lang="en-IN" sz="1100"/>
        </a:p>
      </xdr:txBody>
    </xdr:sp>
    <xdr:clientData/>
  </xdr:twoCellAnchor>
  <xdr:twoCellAnchor>
    <xdr:from>
      <xdr:col>12</xdr:col>
      <xdr:colOff>558800</xdr:colOff>
      <xdr:row>0</xdr:row>
      <xdr:rowOff>165100</xdr:rowOff>
    </xdr:from>
    <xdr:to>
      <xdr:col>15</xdr:col>
      <xdr:colOff>44450</xdr:colOff>
      <xdr:row>9</xdr:row>
      <xdr:rowOff>114300</xdr:rowOff>
    </xdr:to>
    <xdr:graphicFrame macro="">
      <xdr:nvGraphicFramePr>
        <xdr:cNvPr id="57" name="Chart 56">
          <a:extLst>
            <a:ext uri="{FF2B5EF4-FFF2-40B4-BE49-F238E27FC236}">
              <a16:creationId xmlns:a16="http://schemas.microsoft.com/office/drawing/2014/main" id="{4BD96903-6DA0-465B-88EF-EB4000FFF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552450</xdr:colOff>
      <xdr:row>9</xdr:row>
      <xdr:rowOff>6350</xdr:rowOff>
    </xdr:from>
    <xdr:to>
      <xdr:col>15</xdr:col>
      <xdr:colOff>50800</xdr:colOff>
      <xdr:row>10</xdr:row>
      <xdr:rowOff>76200</xdr:rowOff>
    </xdr:to>
    <xdr:sp macro="" textlink="">
      <xdr:nvSpPr>
        <xdr:cNvPr id="58" name="Rectangle 57">
          <a:extLst>
            <a:ext uri="{FF2B5EF4-FFF2-40B4-BE49-F238E27FC236}">
              <a16:creationId xmlns:a16="http://schemas.microsoft.com/office/drawing/2014/main" id="{6C3AC11E-928A-62E9-EBE4-B5B129D50DA5}"/>
            </a:ext>
          </a:extLst>
        </xdr:cNvPr>
        <xdr:cNvSpPr/>
      </xdr:nvSpPr>
      <xdr:spPr>
        <a:xfrm>
          <a:off x="7867650" y="1663700"/>
          <a:ext cx="13271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050" baseline="0"/>
            <a:t>Patient Gender</a:t>
          </a:r>
          <a:endParaRPr lang="en-IN" sz="1100"/>
        </a:p>
      </xdr:txBody>
    </xdr:sp>
    <xdr:clientData/>
  </xdr:twoCellAnchor>
  <xdr:twoCellAnchor>
    <xdr:from>
      <xdr:col>10</xdr:col>
      <xdr:colOff>342900</xdr:colOff>
      <xdr:row>11</xdr:row>
      <xdr:rowOff>38100</xdr:rowOff>
    </xdr:from>
    <xdr:to>
      <xdr:col>15</xdr:col>
      <xdr:colOff>25400</xdr:colOff>
      <xdr:row>22</xdr:row>
      <xdr:rowOff>101600</xdr:rowOff>
    </xdr:to>
    <xdr:graphicFrame macro="">
      <xdr:nvGraphicFramePr>
        <xdr:cNvPr id="60" name="Chart 59">
          <a:extLst>
            <a:ext uri="{FF2B5EF4-FFF2-40B4-BE49-F238E27FC236}">
              <a16:creationId xmlns:a16="http://schemas.microsoft.com/office/drawing/2014/main" id="{8B8393BD-D6A8-457C-8CCF-F19326994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8</xdr:col>
      <xdr:colOff>6350</xdr:colOff>
      <xdr:row>1</xdr:row>
      <xdr:rowOff>111760</xdr:rowOff>
    </xdr:from>
    <xdr:to>
      <xdr:col>10</xdr:col>
      <xdr:colOff>114300</xdr:colOff>
      <xdr:row>4</xdr:row>
      <xdr:rowOff>57150</xdr:rowOff>
    </xdr:to>
    <mc:AlternateContent xmlns:mc="http://schemas.openxmlformats.org/markup-compatibility/2006" xmlns:a14="http://schemas.microsoft.com/office/drawing/2010/main">
      <mc:Choice Requires="a14">
        <xdr:graphicFrame macro="">
          <xdr:nvGraphicFramePr>
            <xdr:cNvPr id="61" name="Date (Year) 1">
              <a:extLst>
                <a:ext uri="{FF2B5EF4-FFF2-40B4-BE49-F238E27FC236}">
                  <a16:creationId xmlns:a16="http://schemas.microsoft.com/office/drawing/2014/main" id="{4971C494-3FA3-4774-BE1D-7419C2C1C620}"/>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883150" y="295910"/>
              <a:ext cx="1327150" cy="49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311150</xdr:colOff>
      <xdr:row>9</xdr:row>
      <xdr:rowOff>12700</xdr:rowOff>
    </xdr:from>
    <xdr:to>
      <xdr:col>12</xdr:col>
      <xdr:colOff>419100</xdr:colOff>
      <xdr:row>10</xdr:row>
      <xdr:rowOff>82550</xdr:rowOff>
    </xdr:to>
    <xdr:sp macro="" textlink="">
      <xdr:nvSpPr>
        <xdr:cNvPr id="62" name="Rectangle 61">
          <a:extLst>
            <a:ext uri="{FF2B5EF4-FFF2-40B4-BE49-F238E27FC236}">
              <a16:creationId xmlns:a16="http://schemas.microsoft.com/office/drawing/2014/main" id="{BB3D6AD0-E974-ACB6-6506-0CCCEBEBE470}"/>
            </a:ext>
          </a:extLst>
        </xdr:cNvPr>
        <xdr:cNvSpPr/>
      </xdr:nvSpPr>
      <xdr:spPr>
        <a:xfrm>
          <a:off x="6407150" y="1670050"/>
          <a:ext cx="132715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050" baseline="0"/>
            <a:t>Patient Attend Status</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7620</xdr:rowOff>
    </xdr:from>
    <xdr:to>
      <xdr:col>14</xdr:col>
      <xdr:colOff>99060</xdr:colOff>
      <xdr:row>20</xdr:row>
      <xdr:rowOff>99060</xdr:rowOff>
    </xdr:to>
    <xdr:graphicFrame macro="">
      <xdr:nvGraphicFramePr>
        <xdr:cNvPr id="2" name="Chart 1">
          <a:extLst>
            <a:ext uri="{FF2B5EF4-FFF2-40B4-BE49-F238E27FC236}">
              <a16:creationId xmlns:a16="http://schemas.microsoft.com/office/drawing/2014/main" id="{AC343F24-229C-42C2-B6E5-E615E86C0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090856484" backgroundQuery="1" createdVersion="8" refreshedVersion="8" minRefreshableVersion="3" recordCount="0" supportSubquery="1" supportAdvancedDrill="1" xr:uid="{86784F82-F7DF-4429-89BA-A211B83CEA2A}">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092824077" backgroundQuery="1" createdVersion="8" refreshedVersion="8" minRefreshableVersion="3" recordCount="0" supportSubquery="1" supportAdvancedDrill="1" xr:uid="{D37764F8-CCED-4F5B-B0AB-21871581FF14}">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094560186" backgroundQuery="1" createdVersion="8" refreshedVersion="8" minRefreshableVersion="3" recordCount="0" supportSubquery="1" supportAdvancedDrill="1" xr:uid="{98D24DE8-D343-4C93-B948-BF6369105689}">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096643518" backgroundQuery="1" createdVersion="8" refreshedVersion="8" minRefreshableVersion="3" recordCount="0" supportSubquery="1" supportAdvancedDrill="1" xr:uid="{60BD6A3F-0936-4779-BE8E-76AFE3E53507}">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098958335" backgroundQuery="1" createdVersion="8" refreshedVersion="8" minRefreshableVersion="3" recordCount="0" supportSubquery="1" supportAdvancedDrill="1" xr:uid="{87C19244-48E7-4351-8A9E-C0EED51D4A49}">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101504629" backgroundQuery="1" createdVersion="8" refreshedVersion="8" minRefreshableVersion="3" recordCount="0" supportSubquery="1" supportAdvancedDrill="1" xr:uid="{EDBE0C9C-44AA-4A44-8E00-AFEE3AB41A66}">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104282408" backgroundQuery="1" createdVersion="8" refreshedVersion="8" minRefreshableVersion="3" recordCount="0" supportSubquery="1" supportAdvancedDrill="1" xr:uid="{9CF5DF20-F3FA-4CC7-A734-AA7DD6453C7C}">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105439817" backgroundQuery="1" createdVersion="8" refreshedVersion="8" minRefreshableVersion="3" recordCount="0" supportSubquery="1" supportAdvancedDrill="1" xr:uid="{550FF648-6F8D-472F-91A1-DA990D36CBF4}">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10636574" backgroundQuery="1" createdVersion="8" refreshedVersion="8" minRefreshableVersion="3" recordCount="0" supportSubquery="1" supportAdvancedDrill="1" xr:uid="{9008B445-3B0F-4516-B1EF-504FD820D591}">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107291664" backgroundQuery="1" createdVersion="8" refreshedVersion="8" minRefreshableVersion="3" recordCount="0" supportSubquery="1" supportAdvancedDrill="1" xr:uid="{0D9C9FA3-BBF9-4B54-856D-3068C2D6B3AF}">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108333334" backgroundQuery="1" createdVersion="8" refreshedVersion="8" minRefreshableVersion="3" recordCount="0" supportSubquery="1" supportAdvancedDrill="1" xr:uid="{6EBDF20E-CF2E-4DD4-B795-48A2DD7FAF11}">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80109259258" backgroundQuery="1" createdVersion="8" refreshedVersion="8" minRefreshableVersion="3" recordCount="0" supportSubquery="1" supportAdvancedDrill="1" xr:uid="{DAE407F7-1F2E-4692-99CB-005629D39408}">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7.674829050928" backgroundQuery="1" createdVersion="3" refreshedVersion="8" minRefreshableVersion="3" recordCount="0" supportSubquery="1" supportAdvancedDrill="1" xr:uid="{D5892801-E950-4A52-A021-6DFD7FB3487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115217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2CA305-3AC8-419A-A369-A705494DB2E1}" name="PivotTable9" cacheId="8" applyNumberFormats="0" applyBorderFormats="0" applyFontFormats="0" applyPatternFormats="0" applyAlignmentFormats="0" applyWidthHeightFormats="1" dataCaption="Values" tag="19e2e7d1-4437-42dd-88d0-3a2258a38d85" updatedVersion="8" minRefreshableVersion="3" subtotalHiddenItems="1" itemPrintTitles="1" createdVersion="8" indent="0" outline="1" outlineData="1" multipleFieldFilters="0" chartFormat="12">
  <location ref="A68:B7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0">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14E2CC-2752-44B8-8A67-E1A448DCF55E}" name="PivotTable3" cacheId="2" applyNumberFormats="0" applyBorderFormats="0" applyFontFormats="0" applyPatternFormats="0" applyAlignmentFormats="0" applyWidthHeightFormats="1" dataCaption="Values" tag="8daa08c7-4598-4cc4-a8c4-3c17b1b8a028" updatedVersion="8" minRefreshableVersion="3" useAutoFormatting="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CAC101-F767-4048-9997-690F90BA7BBE}" name="PivotTable8" cacheId="7" applyNumberFormats="0" applyBorderFormats="0" applyFontFormats="0" applyPatternFormats="0" applyAlignmentFormats="0" applyWidthHeightFormats="1" dataCaption="Values" tag="19e2e7d1-4437-42dd-88d0-3a2258a38d85" updatedVersion="8" minRefreshableVersion="3" itemPrintTitles="1" createdVersion="8" indent="0" outline="1" outlineData="1" multipleFieldFilters="0" chartFormat="7">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1025C8-C561-4F49-8B69-1C291C962CB4}" name="PivotTable1" cacheId="1" applyNumberFormats="0" applyBorderFormats="0" applyFontFormats="0" applyPatternFormats="0" applyAlignmentFormats="0" applyWidthHeightFormats="1" dataCaption="Values" tag="f6817a35-9bd3-418e-9192-5f692788c50e" updatedVersion="8" minRefreshableVersion="3"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06D9AF-8ED5-4787-98DA-D59A6B4D60AE}" name="PivotTable6" cacheId="6" applyNumberFormats="0" applyBorderFormats="0" applyFontFormats="0" applyPatternFormats="0" applyAlignmentFormats="0" applyWidthHeightFormats="1" dataCaption="Values" tag="19e2e7d1-4437-42dd-88d0-3a2258a38d85" updatedVersion="8" minRefreshableVersion="3" itemPrintTitles="1" createdVersion="8" indent="0" outline="1" outlineData="1" multipleFieldFilters="0" chartFormat="3">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4">
      <pivotArea outline="0" collapsedLevelsAreSubtotals="1" fieldPosition="0"/>
    </format>
    <format dxfId="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74AB19-76F0-486F-B42F-25D00F1ABEF5}" name="PivotTable14" cacheId="11" applyNumberFormats="0" applyBorderFormats="0" applyFontFormats="0" applyPatternFormats="0" applyAlignmentFormats="0" applyWidthHeightFormats="1" dataCaption="Values" tag="19e2e7d1-4437-42dd-88d0-3a2258a38d85" updatedVersion="8" minRefreshableVersion="3" subtotalHiddenItems="1" itemPrintTitles="1" createdVersion="8" indent="0" outline="1" outlineData="1" multipleFieldFilters="0" chartFormat="21">
  <location ref="A110:A11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5">
      <pivotArea outline="0" collapsedLevelsAreSubtotals="1" fieldPosition="0"/>
    </format>
  </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F64241-C216-41D4-8D52-D257CF6D13B3}" name="PivotTable13" cacheId="10" applyNumberFormats="0" applyBorderFormats="0" applyFontFormats="0" applyPatternFormats="0" applyAlignmentFormats="0" applyWidthHeightFormats="1" dataCaption="Values" tag="19e2e7d1-4437-42dd-88d0-3a2258a38d85" updatedVersion="8" minRefreshableVersion="3" subtotalHiddenItems="1" itemPrintTitles="1" createdVersion="8" indent="0" outline="1" outlineData="1" multipleFieldFilters="0" chartFormat="21">
  <location ref="A94:B10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1">
    <format dxfId="6">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F588E0-126E-40B0-B217-E830EF9A9CC4}" name="PivotTable7" cacheId="0" applyNumberFormats="0" applyBorderFormats="0" applyFontFormats="0" applyPatternFormats="0" applyAlignmentFormats="0" applyWidthHeightFormats="1" dataCaption="Values" tag="2951938c-f431-4354-bee5-22e8da7c0307" updatedVersion="8" minRefreshableVersion="3" useAutoFormatting="1" itemPrintTitles="1" createdVersion="8" indent="0" outline="1" outlineData="1" multipleFieldFilters="0" chartFormat="16">
  <location ref="C3:D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250390-23B9-4016-AD26-1CA2DB4486D8}" name="PivotTable4" cacheId="5" applyNumberFormats="0" applyBorderFormats="0" applyFontFormats="0" applyPatternFormats="0" applyAlignmentFormats="0" applyWidthHeightFormats="1" dataCaption="Values" tag="2951938c-f431-4354-bee5-22e8da7c0307" updatedVersion="8" minRefreshableVersion="3" useAutoFormatting="1" itemPrintTitles="1" createdVersion="8" indent="0" outline="1" outlineData="1" multipleFieldFilters="0" chartFormat="21">
  <location ref="L3:M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7">
      <pivotArea collapsedLevelsAreSubtotals="1" fieldPosition="0">
        <references count="1">
          <reference field="0" count="0"/>
        </references>
      </pivotArea>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AABEF2-11E2-43E9-B484-98F07E32EB67}" name="PivotTable12" cacheId="9" applyNumberFormats="0" applyBorderFormats="0" applyFontFormats="0" applyPatternFormats="0" applyAlignmentFormats="0" applyWidthHeightFormats="1" dataCaption="Values" tag="19e2e7d1-4437-42dd-88d0-3a2258a38d85" updatedVersion="8" minRefreshableVersion="3" subtotalHiddenItems="1" itemPrintTitles="1" createdVersion="8" indent="0" outline="1" outlineData="1" multipleFieldFilters="0" chartFormat="16">
  <location ref="A78:B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8">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B504C7-EADB-4F84-BE76-169681CAD355}" name="PivotTable2" cacheId="4" applyNumberFormats="0" applyBorderFormats="0" applyFontFormats="0" applyPatternFormats="0" applyAlignmentFormats="0" applyWidthHeightFormats="1" dataCaption="Values" tag="2951938c-f431-4354-bee5-22e8da7c0307" updatedVersion="8" minRefreshableVersion="3" useAutoFormatting="1" itemPrintTitles="1" createdVersion="8" indent="0" outline="1" outlineData="1" multipleFieldFilters="0" chartFormat="26">
  <location ref="H3:I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9">
      <pivotArea collapsedLevelsAreSubtotals="1" fieldPosition="0">
        <references count="1">
          <reference field="0" count="0"/>
        </references>
      </pivotArea>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3C7E33-DF6A-48B7-A35F-69EFC16DD03C}" name="PivotTable5" cacheId="3" applyNumberFormats="0" applyBorderFormats="0" applyFontFormats="0" applyPatternFormats="0" applyAlignmentFormats="0" applyWidthHeightFormats="1" dataCaption="Values" tag="19e2e7d1-4437-42dd-88d0-3a2258a38d85" updatedVersion="8" minRefreshableVersion="3" useAutoFormatting="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
      <pivotArea outline="0" collapsedLevelsAreSubtotals="1" fieldPosition="0"/>
    </format>
  </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8418900-7EF9-483E-B3B2-B5336F7F522E}" sourceName="[Calender_Table].[Date (Month)]">
  <pivotTables>
    <pivotTable tabId="1" name="PivotTable7"/>
    <pivotTable tabId="1" name="PivotTable1"/>
    <pivotTable tabId="1" name="PivotTable3"/>
    <pivotTable tabId="1" name="PivotTable5"/>
    <pivotTable tabId="1" name="PivotTable2"/>
    <pivotTable tabId="1" name="PivotTable4"/>
    <pivotTable tabId="1" name="PivotTable6"/>
    <pivotTable tabId="1" name="PivotTable8"/>
    <pivotTable tabId="1" name="PivotTable9"/>
    <pivotTable tabId="1" name="PivotTable12"/>
    <pivotTable tabId="1" name="PivotTable13"/>
    <pivotTable tabId="1" name="PivotTable14"/>
  </pivotTables>
  <data>
    <olap pivotCacheId="211152172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D0133A8-4D80-4339-A13B-45F743E8108E}" sourceName="[Calender_Table].[Date (Year)]">
  <pivotTables>
    <pivotTable tabId="1" name="PivotTable14"/>
    <pivotTable tabId="1" name="PivotTable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11152172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3EE8EA0-1FC6-4827-BFD2-1A3941FE8627}" cache="Slicer_Date__Month" caption="Date (Month)" level="1" rowHeight="234950"/>
  <slicer name="Date (Year)" xr10:uid="{904F4690-678E-4A86-8B90-EC60059DEFB7}"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945A934-5364-4912-AAA8-02262B24FE81}" cache="Slicer_Date__Month" caption="Date (Month)" showCaption="0" level="1" style="My Style" rowHeight="234000"/>
  <slicer name="Date (Year) 1" xr10:uid="{DA1E1348-E594-4FFB-A9DE-79C4101B93D9}"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EF602-EC67-4681-90E8-6D58529743E2}">
  <dimension ref="A2:M112"/>
  <sheetViews>
    <sheetView topLeftCell="A103" workbookViewId="0">
      <selection activeCell="A110" sqref="A110:A113"/>
    </sheetView>
  </sheetViews>
  <sheetFormatPr defaultRowHeight="14.4" x14ac:dyDescent="0.3"/>
  <cols>
    <col min="1" max="1" width="32.44140625" bestFit="1" customWidth="1"/>
    <col min="2" max="2" width="18" customWidth="1"/>
    <col min="3" max="3" width="12.5546875" bestFit="1" customWidth="1"/>
    <col min="4" max="4" width="23.88671875" bestFit="1" customWidth="1"/>
    <col min="8" max="8" width="12.5546875" bestFit="1" customWidth="1"/>
    <col min="9" max="9" width="25" bestFit="1" customWidth="1"/>
    <col min="12" max="12" width="12.5546875" bestFit="1" customWidth="1"/>
    <col min="13" max="13" width="32.44140625" bestFit="1" customWidth="1"/>
    <col min="14" max="14" width="29.21875" bestFit="1" customWidth="1"/>
  </cols>
  <sheetData>
    <row r="2" spans="1:13" x14ac:dyDescent="0.3">
      <c r="A2" t="s">
        <v>1</v>
      </c>
      <c r="C2" t="s">
        <v>37</v>
      </c>
      <c r="H2" t="s">
        <v>38</v>
      </c>
      <c r="L2" t="s">
        <v>39</v>
      </c>
    </row>
    <row r="3" spans="1:13" x14ac:dyDescent="0.3">
      <c r="A3" t="s">
        <v>0</v>
      </c>
      <c r="C3" s="1" t="s">
        <v>4</v>
      </c>
      <c r="D3" t="s">
        <v>0</v>
      </c>
      <c r="H3" s="1" t="s">
        <v>4</v>
      </c>
      <c r="I3" t="s">
        <v>2</v>
      </c>
      <c r="L3" s="1" t="s">
        <v>4</v>
      </c>
      <c r="M3" t="s">
        <v>3</v>
      </c>
    </row>
    <row r="4" spans="1:13" x14ac:dyDescent="0.3">
      <c r="A4">
        <v>506</v>
      </c>
      <c r="C4" s="4" t="s">
        <v>6</v>
      </c>
      <c r="D4">
        <v>19</v>
      </c>
      <c r="H4" s="4" t="s">
        <v>6</v>
      </c>
      <c r="I4" s="2">
        <v>34.526315789473685</v>
      </c>
      <c r="L4" s="4" t="s">
        <v>6</v>
      </c>
      <c r="M4" s="2">
        <v>7.2</v>
      </c>
    </row>
    <row r="5" spans="1:13" x14ac:dyDescent="0.3">
      <c r="C5" s="4" t="s">
        <v>7</v>
      </c>
      <c r="D5">
        <v>24</v>
      </c>
      <c r="H5" s="4" t="s">
        <v>7</v>
      </c>
      <c r="I5" s="2">
        <v>33.708333333333336</v>
      </c>
      <c r="L5" s="4" t="s">
        <v>7</v>
      </c>
      <c r="M5" s="2">
        <v>6</v>
      </c>
    </row>
    <row r="6" spans="1:13" x14ac:dyDescent="0.3">
      <c r="C6" s="4" t="s">
        <v>8</v>
      </c>
      <c r="D6">
        <v>24</v>
      </c>
      <c r="H6" s="4" t="s">
        <v>8</v>
      </c>
      <c r="I6" s="2">
        <v>36.291666666666664</v>
      </c>
      <c r="L6" s="4" t="s">
        <v>8</v>
      </c>
      <c r="M6" s="2">
        <v>1.5</v>
      </c>
    </row>
    <row r="7" spans="1:13" x14ac:dyDescent="0.3">
      <c r="A7" t="s">
        <v>2</v>
      </c>
      <c r="C7" s="4" t="s">
        <v>9</v>
      </c>
      <c r="D7">
        <v>14</v>
      </c>
      <c r="H7" s="4" t="s">
        <v>9</v>
      </c>
      <c r="I7" s="2">
        <v>35.071428571428569</v>
      </c>
      <c r="L7" s="4" t="s">
        <v>9</v>
      </c>
      <c r="M7" s="2">
        <v>2.75</v>
      </c>
    </row>
    <row r="8" spans="1:13" x14ac:dyDescent="0.3">
      <c r="A8" s="2">
        <v>35.879446640316203</v>
      </c>
      <c r="C8" s="4" t="s">
        <v>10</v>
      </c>
      <c r="D8">
        <v>14</v>
      </c>
      <c r="H8" s="4" t="s">
        <v>10</v>
      </c>
      <c r="I8" s="2">
        <v>31.571428571428573</v>
      </c>
      <c r="L8" s="4" t="s">
        <v>10</v>
      </c>
      <c r="M8" s="2">
        <v>5</v>
      </c>
    </row>
    <row r="9" spans="1:13" x14ac:dyDescent="0.3">
      <c r="C9" s="4" t="s">
        <v>11</v>
      </c>
      <c r="D9">
        <v>16</v>
      </c>
      <c r="H9" s="4" t="s">
        <v>11</v>
      </c>
      <c r="I9" s="2">
        <v>31.8125</v>
      </c>
      <c r="L9" s="4" t="s">
        <v>11</v>
      </c>
      <c r="M9" s="2">
        <v>5.5</v>
      </c>
    </row>
    <row r="10" spans="1:13" x14ac:dyDescent="0.3">
      <c r="C10" s="4" t="s">
        <v>12</v>
      </c>
      <c r="D10">
        <v>26</v>
      </c>
      <c r="H10" s="4" t="s">
        <v>12</v>
      </c>
      <c r="I10" s="2">
        <v>36.846153846153847</v>
      </c>
      <c r="L10" s="4" t="s">
        <v>12</v>
      </c>
      <c r="M10" s="2">
        <v>5.0909090909090908</v>
      </c>
    </row>
    <row r="11" spans="1:13" x14ac:dyDescent="0.3">
      <c r="A11" t="s">
        <v>3</v>
      </c>
      <c r="C11" s="4" t="s">
        <v>13</v>
      </c>
      <c r="D11">
        <v>14</v>
      </c>
      <c r="H11" s="4" t="s">
        <v>13</v>
      </c>
      <c r="I11" s="2">
        <v>34.071428571428569</v>
      </c>
      <c r="L11" s="4" t="s">
        <v>13</v>
      </c>
      <c r="M11" s="2">
        <v>7.666666666666667</v>
      </c>
    </row>
    <row r="12" spans="1:13" x14ac:dyDescent="0.3">
      <c r="A12" s="2">
        <v>5.3277310924369745</v>
      </c>
      <c r="C12" s="4" t="s">
        <v>14</v>
      </c>
      <c r="D12">
        <v>22</v>
      </c>
      <c r="H12" s="4" t="s">
        <v>14</v>
      </c>
      <c r="I12" s="2">
        <v>33</v>
      </c>
      <c r="L12" s="4" t="s">
        <v>14</v>
      </c>
      <c r="M12" s="2">
        <v>3.5</v>
      </c>
    </row>
    <row r="13" spans="1:13" x14ac:dyDescent="0.3">
      <c r="C13" s="4" t="s">
        <v>15</v>
      </c>
      <c r="D13">
        <v>18</v>
      </c>
      <c r="H13" s="4" t="s">
        <v>15</v>
      </c>
      <c r="I13" s="2">
        <v>40.222222222222221</v>
      </c>
      <c r="L13" s="4" t="s">
        <v>15</v>
      </c>
      <c r="M13" s="2">
        <v>3.6666666666666665</v>
      </c>
    </row>
    <row r="14" spans="1:13" x14ac:dyDescent="0.3">
      <c r="C14" s="4" t="s">
        <v>16</v>
      </c>
      <c r="D14">
        <v>20</v>
      </c>
      <c r="H14" s="4" t="s">
        <v>16</v>
      </c>
      <c r="I14" s="2">
        <v>42.05</v>
      </c>
      <c r="L14" s="4" t="s">
        <v>16</v>
      </c>
      <c r="M14" s="2">
        <v>3.8</v>
      </c>
    </row>
    <row r="15" spans="1:13" x14ac:dyDescent="0.3">
      <c r="C15" s="4" t="s">
        <v>17</v>
      </c>
      <c r="D15">
        <v>13</v>
      </c>
      <c r="H15" s="4" t="s">
        <v>17</v>
      </c>
      <c r="I15" s="2">
        <v>42.615384615384613</v>
      </c>
      <c r="L15" s="4" t="s">
        <v>17</v>
      </c>
      <c r="M15" s="2">
        <v>1</v>
      </c>
    </row>
    <row r="16" spans="1:13" x14ac:dyDescent="0.3">
      <c r="C16" s="4" t="s">
        <v>18</v>
      </c>
      <c r="D16">
        <v>13</v>
      </c>
      <c r="H16" s="4" t="s">
        <v>18</v>
      </c>
      <c r="I16" s="2">
        <v>40.46153846153846</v>
      </c>
      <c r="L16" s="4" t="s">
        <v>18</v>
      </c>
      <c r="M16" s="2">
        <v>7</v>
      </c>
    </row>
    <row r="17" spans="3:13" x14ac:dyDescent="0.3">
      <c r="C17" s="4" t="s">
        <v>19</v>
      </c>
      <c r="D17">
        <v>14</v>
      </c>
      <c r="H17" s="4" t="s">
        <v>19</v>
      </c>
      <c r="I17" s="2">
        <v>34.071428571428569</v>
      </c>
      <c r="L17" s="4" t="s">
        <v>19</v>
      </c>
      <c r="M17" s="2">
        <v>5</v>
      </c>
    </row>
    <row r="18" spans="3:13" x14ac:dyDescent="0.3">
      <c r="C18" s="4" t="s">
        <v>20</v>
      </c>
      <c r="D18">
        <v>13</v>
      </c>
      <c r="H18" s="4" t="s">
        <v>20</v>
      </c>
      <c r="I18" s="2">
        <v>33.92307692307692</v>
      </c>
      <c r="L18" s="4" t="s">
        <v>20</v>
      </c>
      <c r="M18" s="2">
        <v>4.25</v>
      </c>
    </row>
    <row r="19" spans="3:13" x14ac:dyDescent="0.3">
      <c r="C19" s="4" t="s">
        <v>21</v>
      </c>
      <c r="D19">
        <v>18</v>
      </c>
      <c r="H19" s="4" t="s">
        <v>21</v>
      </c>
      <c r="I19" s="2">
        <v>43.166666666666664</v>
      </c>
      <c r="L19" s="4" t="s">
        <v>21</v>
      </c>
      <c r="M19" s="2">
        <v>4</v>
      </c>
    </row>
    <row r="20" spans="3:13" x14ac:dyDescent="0.3">
      <c r="C20" s="4" t="s">
        <v>22</v>
      </c>
      <c r="D20">
        <v>12</v>
      </c>
      <c r="H20" s="4" t="s">
        <v>22</v>
      </c>
      <c r="I20" s="2">
        <v>42.25</v>
      </c>
      <c r="L20" s="4" t="s">
        <v>22</v>
      </c>
      <c r="M20" s="2">
        <v>7.333333333333333</v>
      </c>
    </row>
    <row r="21" spans="3:13" x14ac:dyDescent="0.3">
      <c r="C21" s="4" t="s">
        <v>23</v>
      </c>
      <c r="D21">
        <v>11</v>
      </c>
      <c r="H21" s="4" t="s">
        <v>23</v>
      </c>
      <c r="I21" s="2">
        <v>44.090909090909093</v>
      </c>
      <c r="L21" s="4" t="s">
        <v>23</v>
      </c>
      <c r="M21" s="2">
        <v>9</v>
      </c>
    </row>
    <row r="22" spans="3:13" x14ac:dyDescent="0.3">
      <c r="C22" s="4" t="s">
        <v>24</v>
      </c>
      <c r="D22">
        <v>14</v>
      </c>
      <c r="H22" s="4" t="s">
        <v>24</v>
      </c>
      <c r="I22" s="2">
        <v>39</v>
      </c>
      <c r="L22" s="4" t="s">
        <v>24</v>
      </c>
      <c r="M22" s="2">
        <v>5.25</v>
      </c>
    </row>
    <row r="23" spans="3:13" x14ac:dyDescent="0.3">
      <c r="C23" s="4" t="s">
        <v>25</v>
      </c>
      <c r="D23">
        <v>12</v>
      </c>
      <c r="H23" s="4" t="s">
        <v>25</v>
      </c>
      <c r="I23" s="2">
        <v>31.25</v>
      </c>
      <c r="L23" s="4" t="s">
        <v>25</v>
      </c>
      <c r="M23" s="2">
        <v>6.6</v>
      </c>
    </row>
    <row r="24" spans="3:13" x14ac:dyDescent="0.3">
      <c r="C24" s="4" t="s">
        <v>26</v>
      </c>
      <c r="D24">
        <v>16</v>
      </c>
      <c r="H24" s="4" t="s">
        <v>26</v>
      </c>
      <c r="I24" s="2">
        <v>28.5</v>
      </c>
      <c r="L24" s="4" t="s">
        <v>26</v>
      </c>
      <c r="M24" s="2">
        <v>6.25</v>
      </c>
    </row>
    <row r="25" spans="3:13" x14ac:dyDescent="0.3">
      <c r="C25" s="4" t="s">
        <v>27</v>
      </c>
      <c r="D25">
        <v>16</v>
      </c>
      <c r="H25" s="4" t="s">
        <v>27</v>
      </c>
      <c r="I25" s="2">
        <v>34.0625</v>
      </c>
      <c r="L25" s="4" t="s">
        <v>27</v>
      </c>
      <c r="M25" s="2">
        <v>6.333333333333333</v>
      </c>
    </row>
    <row r="26" spans="3:13" x14ac:dyDescent="0.3">
      <c r="C26" s="4" t="s">
        <v>28</v>
      </c>
      <c r="D26">
        <v>15</v>
      </c>
      <c r="H26" s="4" t="s">
        <v>28</v>
      </c>
      <c r="I26" s="2">
        <v>25.2</v>
      </c>
      <c r="L26" s="4" t="s">
        <v>28</v>
      </c>
      <c r="M26" s="2">
        <v>7</v>
      </c>
    </row>
    <row r="27" spans="3:13" x14ac:dyDescent="0.3">
      <c r="C27" s="4" t="s">
        <v>29</v>
      </c>
      <c r="D27">
        <v>22</v>
      </c>
      <c r="H27" s="4" t="s">
        <v>29</v>
      </c>
      <c r="I27" s="2">
        <v>35.863636363636367</v>
      </c>
      <c r="L27" s="4" t="s">
        <v>29</v>
      </c>
      <c r="M27" s="2">
        <v>5.666666666666667</v>
      </c>
    </row>
    <row r="28" spans="3:13" x14ac:dyDescent="0.3">
      <c r="C28" s="4" t="s">
        <v>30</v>
      </c>
      <c r="D28">
        <v>18</v>
      </c>
      <c r="H28" s="4" t="s">
        <v>30</v>
      </c>
      <c r="I28" s="2">
        <v>39.833333333333336</v>
      </c>
      <c r="L28" s="4" t="s">
        <v>30</v>
      </c>
      <c r="M28" s="2">
        <v>3.3333333333333335</v>
      </c>
    </row>
    <row r="29" spans="3:13" x14ac:dyDescent="0.3">
      <c r="C29" s="4" t="s">
        <v>31</v>
      </c>
      <c r="D29">
        <v>10</v>
      </c>
      <c r="H29" s="4" t="s">
        <v>31</v>
      </c>
      <c r="I29" s="2">
        <v>37</v>
      </c>
      <c r="L29" s="4" t="s">
        <v>31</v>
      </c>
      <c r="M29" s="2">
        <v>4.75</v>
      </c>
    </row>
    <row r="30" spans="3:13" x14ac:dyDescent="0.3">
      <c r="C30" s="4" t="s">
        <v>32</v>
      </c>
      <c r="D30">
        <v>17</v>
      </c>
      <c r="H30" s="4" t="s">
        <v>32</v>
      </c>
      <c r="I30" s="2">
        <v>39.411764705882355</v>
      </c>
      <c r="L30" s="4" t="s">
        <v>32</v>
      </c>
      <c r="M30" s="2">
        <v>2</v>
      </c>
    </row>
    <row r="31" spans="3:13" x14ac:dyDescent="0.3">
      <c r="C31" s="4" t="s">
        <v>33</v>
      </c>
      <c r="D31">
        <v>17</v>
      </c>
      <c r="H31" s="4" t="s">
        <v>33</v>
      </c>
      <c r="I31" s="2">
        <v>30.294117647058822</v>
      </c>
      <c r="L31" s="4" t="s">
        <v>33</v>
      </c>
      <c r="M31" s="2">
        <v>9.25</v>
      </c>
    </row>
    <row r="32" spans="3:13" x14ac:dyDescent="0.3">
      <c r="C32" s="4" t="s">
        <v>34</v>
      </c>
      <c r="D32">
        <v>12</v>
      </c>
      <c r="H32" s="4" t="s">
        <v>34</v>
      </c>
      <c r="I32" s="2">
        <v>32.666666666666664</v>
      </c>
      <c r="L32" s="4" t="s">
        <v>34</v>
      </c>
      <c r="M32" s="2">
        <v>2.6666666666666665</v>
      </c>
    </row>
    <row r="33" spans="1:13" x14ac:dyDescent="0.3">
      <c r="C33" s="4" t="s">
        <v>35</v>
      </c>
      <c r="D33">
        <v>14</v>
      </c>
      <c r="H33" s="4" t="s">
        <v>35</v>
      </c>
      <c r="I33" s="2">
        <v>30.571428571428573</v>
      </c>
      <c r="L33" s="4" t="s">
        <v>35</v>
      </c>
      <c r="M33" s="2">
        <v>4</v>
      </c>
    </row>
    <row r="34" spans="1:13" x14ac:dyDescent="0.3">
      <c r="C34" s="4" t="s">
        <v>36</v>
      </c>
      <c r="D34">
        <v>18</v>
      </c>
      <c r="H34" s="4" t="s">
        <v>36</v>
      </c>
      <c r="I34" s="2">
        <v>39.055555555555557</v>
      </c>
      <c r="L34" s="4" t="s">
        <v>36</v>
      </c>
      <c r="M34" s="2">
        <v>8.75</v>
      </c>
    </row>
    <row r="35" spans="1:13" x14ac:dyDescent="0.3">
      <c r="C35" s="4" t="s">
        <v>5</v>
      </c>
      <c r="D35">
        <v>506</v>
      </c>
      <c r="H35" s="4" t="s">
        <v>5</v>
      </c>
      <c r="I35">
        <v>35.879446640316203</v>
      </c>
      <c r="L35" s="4" t="s">
        <v>5</v>
      </c>
      <c r="M35">
        <v>5.3277310924369745</v>
      </c>
    </row>
    <row r="40" spans="1:13" x14ac:dyDescent="0.3">
      <c r="A40" s="1" t="s">
        <v>4</v>
      </c>
      <c r="B40" t="s">
        <v>40</v>
      </c>
      <c r="C40" t="s">
        <v>43</v>
      </c>
    </row>
    <row r="41" spans="1:13" x14ac:dyDescent="0.3">
      <c r="A41" s="4" t="s">
        <v>41</v>
      </c>
      <c r="B41" s="2">
        <v>253</v>
      </c>
      <c r="C41" s="5">
        <v>0.5</v>
      </c>
    </row>
    <row r="42" spans="1:13" x14ac:dyDescent="0.3">
      <c r="A42" s="4" t="s">
        <v>42</v>
      </c>
      <c r="B42" s="2">
        <v>253</v>
      </c>
      <c r="C42" s="5">
        <v>0.5</v>
      </c>
    </row>
    <row r="43" spans="1:13" x14ac:dyDescent="0.3">
      <c r="A43" s="4" t="s">
        <v>5</v>
      </c>
      <c r="B43" s="2">
        <v>506</v>
      </c>
      <c r="C43" s="5">
        <v>1</v>
      </c>
    </row>
    <row r="46" spans="1:13" x14ac:dyDescent="0.3">
      <c r="A46" s="6" t="s">
        <v>44</v>
      </c>
      <c r="B46" s="6" t="s">
        <v>45</v>
      </c>
      <c r="C46" s="9" t="s">
        <v>46</v>
      </c>
      <c r="D46" s="8"/>
    </row>
    <row r="47" spans="1:13" x14ac:dyDescent="0.3">
      <c r="A47" s="10" t="str">
        <f>A42</f>
        <v>Not Admitted</v>
      </c>
      <c r="B47" s="10">
        <f>B42</f>
        <v>253</v>
      </c>
      <c r="C47" s="11">
        <f>C42</f>
        <v>0.5</v>
      </c>
      <c r="D47" s="8"/>
    </row>
    <row r="48" spans="1:13" x14ac:dyDescent="0.3">
      <c r="A48" s="10" t="str">
        <f>A41</f>
        <v>Admitted</v>
      </c>
      <c r="B48" s="10">
        <f>B41</f>
        <v>253</v>
      </c>
      <c r="C48" s="11">
        <f>C41</f>
        <v>0.5</v>
      </c>
      <c r="D48" s="8"/>
    </row>
    <row r="52" spans="1:2" x14ac:dyDescent="0.3">
      <c r="A52" t="s">
        <v>56</v>
      </c>
    </row>
    <row r="53" spans="1:2" x14ac:dyDescent="0.3">
      <c r="A53" s="1" t="s">
        <v>4</v>
      </c>
      <c r="B53" t="s">
        <v>55</v>
      </c>
    </row>
    <row r="54" spans="1:2" x14ac:dyDescent="0.3">
      <c r="A54" s="4" t="s">
        <v>47</v>
      </c>
      <c r="B54" s="7">
        <v>64</v>
      </c>
    </row>
    <row r="55" spans="1:2" x14ac:dyDescent="0.3">
      <c r="A55" s="4" t="s">
        <v>48</v>
      </c>
      <c r="B55" s="7">
        <v>66</v>
      </c>
    </row>
    <row r="56" spans="1:2" x14ac:dyDescent="0.3">
      <c r="A56" s="4" t="s">
        <v>49</v>
      </c>
      <c r="B56" s="7">
        <v>65</v>
      </c>
    </row>
    <row r="57" spans="1:2" x14ac:dyDescent="0.3">
      <c r="A57" s="4" t="s">
        <v>50</v>
      </c>
      <c r="B57" s="7">
        <v>73</v>
      </c>
    </row>
    <row r="58" spans="1:2" x14ac:dyDescent="0.3">
      <c r="A58" s="4" t="s">
        <v>51</v>
      </c>
      <c r="B58" s="7">
        <v>45</v>
      </c>
    </row>
    <row r="59" spans="1:2" x14ac:dyDescent="0.3">
      <c r="A59" s="4" t="s">
        <v>52</v>
      </c>
      <c r="B59" s="7">
        <v>72</v>
      </c>
    </row>
    <row r="60" spans="1:2" x14ac:dyDescent="0.3">
      <c r="A60" s="4" t="s">
        <v>53</v>
      </c>
      <c r="B60" s="7">
        <v>97</v>
      </c>
    </row>
    <row r="61" spans="1:2" x14ac:dyDescent="0.3">
      <c r="A61" s="4" t="s">
        <v>54</v>
      </c>
      <c r="B61" s="7">
        <v>24</v>
      </c>
    </row>
    <row r="62" spans="1:2" x14ac:dyDescent="0.3">
      <c r="A62" s="4" t="s">
        <v>5</v>
      </c>
      <c r="B62" s="7">
        <v>506</v>
      </c>
    </row>
    <row r="68" spans="1:2" x14ac:dyDescent="0.3">
      <c r="A68" s="1" t="s">
        <v>4</v>
      </c>
      <c r="B68" t="s">
        <v>57</v>
      </c>
    </row>
    <row r="69" spans="1:2" x14ac:dyDescent="0.3">
      <c r="A69" s="4" t="s">
        <v>59</v>
      </c>
      <c r="B69" s="7">
        <v>312</v>
      </c>
    </row>
    <row r="70" spans="1:2" x14ac:dyDescent="0.3">
      <c r="A70" s="4" t="s">
        <v>58</v>
      </c>
      <c r="B70" s="7">
        <v>194</v>
      </c>
    </row>
    <row r="71" spans="1:2" x14ac:dyDescent="0.3">
      <c r="A71" s="4" t="s">
        <v>5</v>
      </c>
      <c r="B71" s="7">
        <v>506</v>
      </c>
    </row>
    <row r="78" spans="1:2" x14ac:dyDescent="0.3">
      <c r="A78" s="1" t="s">
        <v>4</v>
      </c>
      <c r="B78" t="s">
        <v>62</v>
      </c>
    </row>
    <row r="79" spans="1:2" x14ac:dyDescent="0.3">
      <c r="A79" s="4" t="s">
        <v>60</v>
      </c>
      <c r="B79" s="7">
        <v>231</v>
      </c>
    </row>
    <row r="80" spans="1:2" x14ac:dyDescent="0.3">
      <c r="A80" s="4" t="s">
        <v>61</v>
      </c>
      <c r="B80" s="7">
        <v>275</v>
      </c>
    </row>
    <row r="81" spans="1:2" x14ac:dyDescent="0.3">
      <c r="A81" s="4" t="s">
        <v>5</v>
      </c>
      <c r="B81" s="7">
        <v>506</v>
      </c>
    </row>
    <row r="94" spans="1:2" x14ac:dyDescent="0.3">
      <c r="A94" s="1" t="s">
        <v>4</v>
      </c>
      <c r="B94" t="s">
        <v>71</v>
      </c>
    </row>
    <row r="95" spans="1:2" x14ac:dyDescent="0.3">
      <c r="A95" s="4" t="s">
        <v>70</v>
      </c>
      <c r="B95" s="7">
        <v>3</v>
      </c>
    </row>
    <row r="96" spans="1:2" x14ac:dyDescent="0.3">
      <c r="A96" s="4" t="s">
        <v>66</v>
      </c>
      <c r="B96" s="7">
        <v>5</v>
      </c>
    </row>
    <row r="97" spans="1:2" x14ac:dyDescent="0.3">
      <c r="A97" s="4" t="s">
        <v>64</v>
      </c>
      <c r="B97" s="7">
        <v>6</v>
      </c>
    </row>
    <row r="98" spans="1:2" x14ac:dyDescent="0.3">
      <c r="A98" s="4" t="s">
        <v>69</v>
      </c>
      <c r="B98" s="7">
        <v>14</v>
      </c>
    </row>
    <row r="99" spans="1:2" x14ac:dyDescent="0.3">
      <c r="A99" s="4" t="s">
        <v>63</v>
      </c>
      <c r="B99" s="7">
        <v>15</v>
      </c>
    </row>
    <row r="100" spans="1:2" x14ac:dyDescent="0.3">
      <c r="A100" s="4" t="s">
        <v>68</v>
      </c>
      <c r="B100" s="7">
        <v>59</v>
      </c>
    </row>
    <row r="101" spans="1:2" x14ac:dyDescent="0.3">
      <c r="A101" s="4" t="s">
        <v>65</v>
      </c>
      <c r="B101" s="7">
        <v>93</v>
      </c>
    </row>
    <row r="102" spans="1:2" x14ac:dyDescent="0.3">
      <c r="A102" s="4" t="s">
        <v>67</v>
      </c>
      <c r="B102" s="7">
        <v>311</v>
      </c>
    </row>
    <row r="103" spans="1:2" x14ac:dyDescent="0.3">
      <c r="A103" s="4" t="s">
        <v>5</v>
      </c>
      <c r="B103" s="7">
        <v>506</v>
      </c>
    </row>
    <row r="110" spans="1:2" x14ac:dyDescent="0.3">
      <c r="A110" s="1" t="s">
        <v>4</v>
      </c>
    </row>
    <row r="111" spans="1:2" x14ac:dyDescent="0.3">
      <c r="A111" s="4" t="s">
        <v>72</v>
      </c>
    </row>
    <row r="112" spans="1:2" x14ac:dyDescent="0.3">
      <c r="A112"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128B-55B2-432F-BB86-F883CFE3AD6B}">
  <dimension ref="A1"/>
  <sheetViews>
    <sheetView showGridLines="0" tabSelected="1" zoomScale="120" zoomScaleNormal="120" workbookViewId="0">
      <selection activeCell="R8" sqref="R8"/>
    </sheetView>
  </sheetViews>
  <sheetFormatPr defaultRowHeight="14.4" x14ac:dyDescent="0.3"/>
  <cols>
    <col min="1" max="16384" width="8.88671875" style="3"/>
  </cols>
  <sheetData/>
  <sheetProtection sheet="1" objects="1" scenarios="1" autoFilter="0" pivotTables="0"/>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1B76-74E7-48CD-B379-3F93388573CF}">
  <dimension ref="A1:O29"/>
  <sheetViews>
    <sheetView workbookViewId="0">
      <selection activeCell="H21" sqref="H21"/>
    </sheetView>
  </sheetViews>
  <sheetFormatPr defaultRowHeight="14.4" x14ac:dyDescent="0.3"/>
  <sheetData>
    <row r="1" spans="1:15" x14ac:dyDescent="0.3">
      <c r="A1" s="3"/>
      <c r="B1" s="3"/>
      <c r="C1" s="3"/>
      <c r="D1" s="3"/>
      <c r="E1" s="3"/>
      <c r="F1" s="3"/>
      <c r="G1" s="3"/>
      <c r="H1" s="3"/>
      <c r="I1" s="3"/>
      <c r="J1" s="3"/>
      <c r="K1" s="3"/>
      <c r="L1" s="3"/>
      <c r="M1" s="3"/>
      <c r="N1" s="3"/>
      <c r="O1" s="3"/>
    </row>
    <row r="2" spans="1:15" x14ac:dyDescent="0.3">
      <c r="A2" s="3"/>
      <c r="B2" s="3"/>
      <c r="C2" s="3"/>
      <c r="D2" s="3"/>
      <c r="E2" s="3"/>
      <c r="F2" s="3"/>
      <c r="G2" s="3"/>
      <c r="H2" s="3"/>
      <c r="I2" s="3"/>
      <c r="J2" s="3"/>
      <c r="K2" s="3"/>
      <c r="L2" s="3"/>
      <c r="M2" s="3"/>
      <c r="N2" s="3"/>
      <c r="O2" s="3"/>
    </row>
    <row r="3" spans="1:15" x14ac:dyDescent="0.3">
      <c r="A3" s="3"/>
      <c r="B3" s="3"/>
      <c r="C3" s="3"/>
      <c r="D3" s="3"/>
      <c r="E3" s="3"/>
      <c r="F3" s="3"/>
      <c r="G3" s="3"/>
      <c r="H3" s="3"/>
      <c r="I3" s="3"/>
      <c r="J3" s="3"/>
      <c r="K3" s="3"/>
      <c r="L3" s="3"/>
      <c r="M3" s="3"/>
      <c r="N3" s="3"/>
      <c r="O3" s="3"/>
    </row>
    <row r="4" spans="1:15" x14ac:dyDescent="0.3">
      <c r="A4" s="3"/>
      <c r="B4" s="3"/>
      <c r="C4" s="3"/>
      <c r="D4" s="3"/>
      <c r="E4" s="3"/>
      <c r="F4" s="3"/>
      <c r="G4" s="3"/>
      <c r="H4" s="3"/>
      <c r="I4" s="3"/>
      <c r="J4" s="3"/>
      <c r="K4" s="3"/>
      <c r="L4" s="3"/>
      <c r="M4" s="3"/>
      <c r="N4" s="3"/>
      <c r="O4" s="3"/>
    </row>
    <row r="5" spans="1:15" x14ac:dyDescent="0.3">
      <c r="A5" s="3"/>
      <c r="B5" s="3"/>
      <c r="C5" s="3"/>
      <c r="D5" s="3"/>
      <c r="E5" s="3"/>
      <c r="F5" s="3"/>
      <c r="G5" s="3"/>
      <c r="H5" s="3"/>
      <c r="I5" s="3"/>
      <c r="J5" s="3"/>
      <c r="K5" s="3"/>
      <c r="L5" s="3"/>
      <c r="M5" s="3"/>
      <c r="N5" s="3"/>
      <c r="O5" s="3"/>
    </row>
    <row r="6" spans="1:15" x14ac:dyDescent="0.3">
      <c r="A6" s="3"/>
      <c r="B6" s="3"/>
      <c r="C6" s="3"/>
      <c r="D6" s="3"/>
      <c r="E6" s="3"/>
      <c r="F6" s="3"/>
      <c r="G6" s="3"/>
      <c r="H6" s="3"/>
      <c r="I6" s="3"/>
      <c r="J6" s="3"/>
      <c r="K6" s="3"/>
      <c r="L6" s="3"/>
      <c r="M6" s="3"/>
      <c r="N6" s="3"/>
      <c r="O6" s="3"/>
    </row>
    <row r="7" spans="1:15" x14ac:dyDescent="0.3">
      <c r="A7" s="3"/>
      <c r="B7" s="3"/>
      <c r="C7" s="3"/>
      <c r="D7" s="3"/>
      <c r="E7" s="3"/>
      <c r="F7" s="3"/>
      <c r="G7" s="3"/>
      <c r="H7" s="3"/>
      <c r="I7" s="3"/>
      <c r="J7" s="3"/>
      <c r="K7" s="3"/>
      <c r="L7" s="3"/>
      <c r="M7" s="3"/>
      <c r="N7" s="3"/>
      <c r="O7" s="3"/>
    </row>
    <row r="8" spans="1:15" x14ac:dyDescent="0.3">
      <c r="A8" s="3"/>
      <c r="B8" s="3"/>
      <c r="C8" s="3"/>
      <c r="D8" s="3"/>
      <c r="E8" s="3"/>
      <c r="F8" s="3"/>
      <c r="G8" s="3"/>
      <c r="H8" s="3"/>
      <c r="I8" s="3"/>
      <c r="J8" s="3"/>
      <c r="K8" s="3"/>
      <c r="L8" s="3"/>
      <c r="M8" s="3"/>
      <c r="N8" s="3"/>
      <c r="O8" s="3"/>
    </row>
    <row r="9" spans="1:15" x14ac:dyDescent="0.3">
      <c r="A9" s="3"/>
      <c r="B9" s="3"/>
      <c r="C9" s="3"/>
      <c r="D9" s="3"/>
      <c r="E9" s="3"/>
      <c r="F9" s="3"/>
      <c r="G9" s="3"/>
      <c r="H9" s="3"/>
      <c r="I9" s="3"/>
      <c r="J9" s="3"/>
      <c r="K9" s="3"/>
      <c r="L9" s="3"/>
      <c r="M9" s="3"/>
      <c r="N9" s="3"/>
      <c r="O9" s="3"/>
    </row>
    <row r="10" spans="1:15" x14ac:dyDescent="0.3">
      <c r="A10" s="3"/>
      <c r="B10" s="3"/>
      <c r="C10" s="3"/>
      <c r="D10" s="3"/>
      <c r="E10" s="3"/>
      <c r="F10" s="3"/>
      <c r="G10" s="3"/>
      <c r="H10" s="3"/>
      <c r="I10" s="3"/>
      <c r="J10" s="3"/>
      <c r="K10" s="3"/>
      <c r="L10" s="3"/>
      <c r="M10" s="3"/>
      <c r="N10" s="3"/>
      <c r="O10" s="3"/>
    </row>
    <row r="11" spans="1:15" x14ac:dyDescent="0.3">
      <c r="A11" s="3"/>
      <c r="B11" s="3"/>
      <c r="C11" s="3"/>
      <c r="D11" s="3"/>
      <c r="E11" s="3"/>
      <c r="F11" s="3"/>
      <c r="G11" s="3"/>
      <c r="H11" s="3"/>
      <c r="I11" s="3"/>
      <c r="J11" s="3"/>
      <c r="K11" s="3"/>
      <c r="L11" s="3"/>
      <c r="M11" s="3"/>
      <c r="N11" s="3"/>
      <c r="O11" s="3"/>
    </row>
    <row r="12" spans="1:15" x14ac:dyDescent="0.3">
      <c r="A12" s="3"/>
      <c r="B12" s="3"/>
      <c r="C12" s="3"/>
      <c r="D12" s="3"/>
      <c r="E12" s="3"/>
      <c r="F12" s="3"/>
      <c r="G12" s="3"/>
      <c r="H12" s="3"/>
      <c r="I12" s="3"/>
      <c r="J12" s="3"/>
      <c r="K12" s="3"/>
      <c r="L12" s="3"/>
      <c r="M12" s="3"/>
      <c r="N12" s="3"/>
      <c r="O12" s="3"/>
    </row>
    <row r="13" spans="1:15" x14ac:dyDescent="0.3">
      <c r="A13" s="3"/>
      <c r="B13" s="3"/>
      <c r="C13" s="3"/>
      <c r="D13" s="3"/>
      <c r="E13" s="3"/>
      <c r="F13" s="3"/>
      <c r="G13" s="3"/>
      <c r="H13" s="3"/>
      <c r="I13" s="3"/>
      <c r="J13" s="3"/>
      <c r="K13" s="3"/>
      <c r="L13" s="3"/>
      <c r="M13" s="3"/>
      <c r="N13" s="3"/>
      <c r="O13" s="3"/>
    </row>
    <row r="14" spans="1:15" x14ac:dyDescent="0.3">
      <c r="A14" s="3"/>
      <c r="B14" s="3"/>
      <c r="C14" s="3"/>
      <c r="D14" s="3"/>
      <c r="E14" s="3"/>
      <c r="F14" s="3"/>
      <c r="G14" s="3"/>
      <c r="H14" s="3"/>
      <c r="I14" s="3"/>
      <c r="J14" s="3"/>
      <c r="K14" s="3"/>
      <c r="L14" s="3"/>
      <c r="M14" s="3"/>
      <c r="N14" s="3"/>
      <c r="O14" s="3"/>
    </row>
    <row r="15" spans="1:15" x14ac:dyDescent="0.3">
      <c r="A15" s="3"/>
      <c r="B15" s="3"/>
      <c r="C15" s="3"/>
      <c r="D15" s="3"/>
      <c r="E15" s="3"/>
      <c r="F15" s="3"/>
      <c r="G15" s="3"/>
      <c r="H15" s="3"/>
      <c r="I15" s="3"/>
      <c r="J15" s="3"/>
      <c r="K15" s="3"/>
      <c r="L15" s="3"/>
      <c r="M15" s="3"/>
      <c r="N15" s="3"/>
      <c r="O15" s="3"/>
    </row>
    <row r="16" spans="1:15" x14ac:dyDescent="0.3">
      <c r="A16" s="3"/>
      <c r="B16" s="3"/>
      <c r="C16" s="3"/>
      <c r="D16" s="3"/>
      <c r="E16" s="3"/>
      <c r="F16" s="3"/>
      <c r="G16" s="3"/>
      <c r="H16" s="3"/>
      <c r="I16" s="3"/>
      <c r="J16" s="3"/>
      <c r="K16" s="3"/>
      <c r="L16" s="3"/>
      <c r="M16" s="3"/>
      <c r="N16" s="3"/>
      <c r="O16" s="3"/>
    </row>
    <row r="17" spans="1:15" x14ac:dyDescent="0.3">
      <c r="A17" s="3"/>
      <c r="B17" s="3"/>
      <c r="C17" s="3"/>
      <c r="D17" s="3"/>
      <c r="E17" s="3"/>
      <c r="F17" s="3"/>
      <c r="G17" s="3"/>
      <c r="H17" s="3"/>
      <c r="I17" s="3"/>
      <c r="J17" s="3"/>
      <c r="K17" s="3"/>
      <c r="L17" s="3"/>
      <c r="M17" s="3"/>
      <c r="N17" s="3"/>
      <c r="O17" s="3"/>
    </row>
    <row r="18" spans="1:15" x14ac:dyDescent="0.3">
      <c r="A18" s="3"/>
      <c r="B18" s="3"/>
      <c r="C18" s="3"/>
      <c r="D18" s="3"/>
      <c r="E18" s="3"/>
      <c r="F18" s="3"/>
      <c r="G18" s="3"/>
      <c r="H18" s="3"/>
      <c r="I18" s="3"/>
      <c r="J18" s="3"/>
      <c r="K18" s="3"/>
      <c r="L18" s="3"/>
      <c r="M18" s="3"/>
      <c r="N18" s="3"/>
      <c r="O18" s="3"/>
    </row>
    <row r="19" spans="1:15" x14ac:dyDescent="0.3">
      <c r="A19" s="3"/>
      <c r="B19" s="3"/>
      <c r="C19" s="3"/>
      <c r="D19" s="3"/>
      <c r="E19" s="3"/>
      <c r="F19" s="3"/>
      <c r="G19" s="3"/>
      <c r="H19" s="3"/>
      <c r="I19" s="3"/>
      <c r="J19" s="3"/>
      <c r="K19" s="3"/>
      <c r="L19" s="3"/>
      <c r="M19" s="3"/>
      <c r="N19" s="3"/>
      <c r="O19" s="3"/>
    </row>
    <row r="20" spans="1:15" x14ac:dyDescent="0.3">
      <c r="A20" s="3"/>
      <c r="B20" s="3"/>
      <c r="C20" s="3"/>
      <c r="D20" s="3"/>
      <c r="E20" s="3"/>
      <c r="F20" s="3"/>
      <c r="G20" s="3"/>
      <c r="H20" s="3"/>
      <c r="I20" s="3"/>
      <c r="J20" s="3"/>
      <c r="K20" s="3"/>
      <c r="L20" s="3"/>
      <c r="M20" s="3"/>
      <c r="N20" s="3"/>
      <c r="O20" s="3"/>
    </row>
    <row r="21" spans="1:15" x14ac:dyDescent="0.3">
      <c r="A21" s="3"/>
      <c r="B21" s="3"/>
      <c r="C21" s="3"/>
      <c r="D21" s="3"/>
      <c r="E21" s="3"/>
      <c r="F21" s="3"/>
      <c r="G21" s="3"/>
      <c r="H21" s="3"/>
      <c r="I21" s="3"/>
      <c r="J21" s="3"/>
      <c r="K21" s="3"/>
      <c r="L21" s="3"/>
      <c r="M21" s="3"/>
      <c r="N21" s="3"/>
      <c r="O21" s="3"/>
    </row>
    <row r="22" spans="1:15" x14ac:dyDescent="0.3">
      <c r="A22" s="3"/>
      <c r="B22" s="3"/>
      <c r="C22" s="3"/>
      <c r="D22" s="3"/>
      <c r="E22" s="3"/>
      <c r="F22" s="3"/>
      <c r="G22" s="3"/>
      <c r="H22" s="3"/>
      <c r="I22" s="3"/>
      <c r="J22" s="3"/>
      <c r="K22" s="3"/>
      <c r="L22" s="3"/>
      <c r="M22" s="3"/>
      <c r="N22" s="3"/>
      <c r="O22" s="3"/>
    </row>
    <row r="23" spans="1:15" x14ac:dyDescent="0.3">
      <c r="A23" s="3"/>
      <c r="B23" s="3"/>
      <c r="C23" s="3"/>
      <c r="D23" s="3"/>
      <c r="E23" s="3"/>
      <c r="F23" s="3"/>
      <c r="G23" s="3"/>
      <c r="H23" s="3"/>
      <c r="I23" s="3"/>
      <c r="J23" s="3"/>
      <c r="K23" s="3"/>
      <c r="L23" s="3"/>
      <c r="M23" s="3"/>
      <c r="N23" s="3"/>
      <c r="O23" s="3"/>
    </row>
    <row r="24" spans="1:15" x14ac:dyDescent="0.3">
      <c r="A24" s="3"/>
      <c r="B24" s="3"/>
      <c r="C24" s="3"/>
      <c r="D24" s="3"/>
      <c r="E24" s="3"/>
      <c r="F24" s="3"/>
      <c r="G24" s="3"/>
      <c r="H24" s="3"/>
      <c r="I24" s="3"/>
      <c r="J24" s="3"/>
      <c r="K24" s="3"/>
      <c r="L24" s="3"/>
      <c r="M24" s="3"/>
      <c r="N24" s="3"/>
      <c r="O24" s="3"/>
    </row>
    <row r="25" spans="1:15" x14ac:dyDescent="0.3">
      <c r="A25" s="3"/>
      <c r="B25" s="3"/>
      <c r="C25" s="3"/>
      <c r="D25" s="3"/>
      <c r="E25" s="3"/>
      <c r="F25" s="3"/>
      <c r="G25" s="3"/>
      <c r="H25" s="3"/>
      <c r="I25" s="3"/>
      <c r="J25" s="3"/>
      <c r="K25" s="3"/>
      <c r="L25" s="3"/>
      <c r="M25" s="3"/>
      <c r="N25" s="3"/>
      <c r="O25" s="3"/>
    </row>
    <row r="26" spans="1:15" x14ac:dyDescent="0.3">
      <c r="A26" s="3"/>
      <c r="B26" s="3"/>
      <c r="C26" s="3"/>
      <c r="D26" s="3"/>
      <c r="E26" s="3"/>
      <c r="F26" s="3"/>
      <c r="G26" s="3"/>
      <c r="H26" s="3"/>
      <c r="I26" s="3"/>
      <c r="J26" s="3"/>
      <c r="K26" s="3"/>
      <c r="L26" s="3"/>
      <c r="M26" s="3"/>
      <c r="N26" s="3"/>
      <c r="O26" s="3"/>
    </row>
    <row r="27" spans="1:15" x14ac:dyDescent="0.3">
      <c r="A27" s="3"/>
      <c r="B27" s="3"/>
      <c r="C27" s="3"/>
      <c r="D27" s="3"/>
      <c r="E27" s="3"/>
      <c r="F27" s="3"/>
      <c r="G27" s="3"/>
      <c r="H27" s="3"/>
      <c r="I27" s="3"/>
      <c r="J27" s="3"/>
      <c r="K27" s="3"/>
      <c r="L27" s="3"/>
      <c r="M27" s="3"/>
      <c r="N27" s="3"/>
      <c r="O27" s="3"/>
    </row>
    <row r="28" spans="1:15" x14ac:dyDescent="0.3">
      <c r="A28" s="3"/>
      <c r="B28" s="3"/>
      <c r="C28" s="3"/>
      <c r="D28" s="3"/>
      <c r="E28" s="3"/>
      <c r="F28" s="3"/>
      <c r="G28" s="3"/>
      <c r="H28" s="3"/>
      <c r="I28" s="3"/>
      <c r="J28" s="3"/>
      <c r="K28" s="3"/>
      <c r="L28" s="3"/>
      <c r="M28" s="3"/>
      <c r="N28" s="3"/>
      <c r="O28" s="3"/>
    </row>
    <row r="29" spans="1:15" x14ac:dyDescent="0.3">
      <c r="A29" s="3"/>
      <c r="B29" s="3"/>
      <c r="C29" s="3"/>
      <c r="D29" s="3"/>
      <c r="E29" s="3"/>
      <c r="F29" s="3"/>
      <c r="G29" s="3"/>
      <c r="H29" s="3"/>
      <c r="I29" s="3"/>
      <c r="J29" s="3"/>
      <c r="K29" s="3"/>
      <c r="L29" s="3"/>
      <c r="M29" s="3"/>
      <c r="N29" s="3"/>
      <c r="O29"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1C8B6D4-1A57-4727-9E31-6988563800FF}">
  <ds:schemaRefs/>
</ds:datastoreItem>
</file>

<file path=customXml/itemProps2.xml><?xml version="1.0" encoding="utf-8"?>
<ds:datastoreItem xmlns:ds="http://schemas.openxmlformats.org/officeDocument/2006/customXml" ds:itemID="{8CCE7CEE-F00B-465D-8AF1-0D8CA0D4A41E}">
  <ds:schemaRefs/>
</ds:datastoreItem>
</file>

<file path=customXml/itemProps3.xml><?xml version="1.0" encoding="utf-8"?>
<ds:datastoreItem xmlns:ds="http://schemas.openxmlformats.org/officeDocument/2006/customXml" ds:itemID="{CF89C9B0-4991-4715-A1C4-7369C0380353}">
  <ds:schemaRefs/>
</ds:datastoreItem>
</file>

<file path=customXml/itemProps4.xml><?xml version="1.0" encoding="utf-8"?>
<ds:datastoreItem xmlns:ds="http://schemas.openxmlformats.org/officeDocument/2006/customXml" ds:itemID="{789F1A22-F4BE-4E48-B4F0-206345B7706E}">
  <ds:schemaRefs/>
</ds:datastoreItem>
</file>

<file path=customXml/itemProps5.xml><?xml version="1.0" encoding="utf-8"?>
<ds:datastoreItem xmlns:ds="http://schemas.openxmlformats.org/officeDocument/2006/customXml" ds:itemID="{D07C1D89-0033-4508-ACD4-F9F06EB0C864}">
  <ds:schemaRefs/>
</ds:datastoreItem>
</file>

<file path=customXml/itemProps6.xml><?xml version="1.0" encoding="utf-8"?>
<ds:datastoreItem xmlns:ds="http://schemas.openxmlformats.org/officeDocument/2006/customXml" ds:itemID="{1964A4CC-4F3E-40C6-B438-18E76A5E9252}">
  <ds:schemaRefs/>
</ds:datastoreItem>
</file>

<file path=customXml/itemProps7.xml><?xml version="1.0" encoding="utf-8"?>
<ds:datastoreItem xmlns:ds="http://schemas.openxmlformats.org/officeDocument/2006/customXml" ds:itemID="{A2E9AB32-3518-409A-AA60-CB54AF67AD8C}">
  <ds:schemaRefs/>
</ds:datastoreItem>
</file>

<file path=customXml/itemProps8.xml><?xml version="1.0" encoding="utf-8"?>
<ds:datastoreItem xmlns:ds="http://schemas.openxmlformats.org/officeDocument/2006/customXml" ds:itemID="{5C79C712-AC8B-4291-B0AA-95F21E9F2961}">
  <ds:schemaRefs/>
</ds:datastoreItem>
</file>

<file path=customXml/itemProps9.xml><?xml version="1.0" encoding="utf-8"?>
<ds:datastoreItem xmlns:ds="http://schemas.openxmlformats.org/officeDocument/2006/customXml" ds:itemID="{9898E07C-9470-4F83-9BC0-33DE22C9EBB4}">
  <ds:schemaRefs/>
</ds:datastoreItem>
</file>

<file path=customXml/itemProps10.xml><?xml version="1.0" encoding="utf-8"?>
<ds:datastoreItem xmlns:ds="http://schemas.openxmlformats.org/officeDocument/2006/customXml" ds:itemID="{D4277D67-AF78-4F8D-BB72-0CE6F8373653}">
  <ds:schemaRefs/>
</ds:datastoreItem>
</file>

<file path=customXml/itemProps11.xml><?xml version="1.0" encoding="utf-8"?>
<ds:datastoreItem xmlns:ds="http://schemas.openxmlformats.org/officeDocument/2006/customXml" ds:itemID="{69D01DB9-3063-47BD-B45B-88CC8F8947B3}">
  <ds:schemaRefs/>
</ds:datastoreItem>
</file>

<file path=customXml/itemProps12.xml><?xml version="1.0" encoding="utf-8"?>
<ds:datastoreItem xmlns:ds="http://schemas.openxmlformats.org/officeDocument/2006/customXml" ds:itemID="{AC58B47E-68DC-438D-8688-D2F5F800F041}">
  <ds:schemaRefs/>
</ds:datastoreItem>
</file>

<file path=customXml/itemProps13.xml><?xml version="1.0" encoding="utf-8"?>
<ds:datastoreItem xmlns:ds="http://schemas.openxmlformats.org/officeDocument/2006/customXml" ds:itemID="{D9A67239-C4DA-4775-B92B-CD95E5ABBB67}">
  <ds:schemaRefs/>
</ds:datastoreItem>
</file>

<file path=customXml/itemProps14.xml><?xml version="1.0" encoding="utf-8"?>
<ds:datastoreItem xmlns:ds="http://schemas.openxmlformats.org/officeDocument/2006/customXml" ds:itemID="{7A2308E7-A983-4E6F-BF67-4967BE7EADA6}">
  <ds:schemaRefs/>
</ds:datastoreItem>
</file>

<file path=customXml/itemProps15.xml><?xml version="1.0" encoding="utf-8"?>
<ds:datastoreItem xmlns:ds="http://schemas.openxmlformats.org/officeDocument/2006/customXml" ds:itemID="{9DB8FB29-9904-4786-8359-DA387CA147FA}">
  <ds:schemaRefs/>
</ds:datastoreItem>
</file>

<file path=customXml/itemProps16.xml><?xml version="1.0" encoding="utf-8"?>
<ds:datastoreItem xmlns:ds="http://schemas.openxmlformats.org/officeDocument/2006/customXml" ds:itemID="{9C46BC28-1AF2-4C8D-83E4-2B4429C542BC}">
  <ds:schemaRefs/>
</ds:datastoreItem>
</file>

<file path=customXml/itemProps17.xml><?xml version="1.0" encoding="utf-8"?>
<ds:datastoreItem xmlns:ds="http://schemas.openxmlformats.org/officeDocument/2006/customXml" ds:itemID="{74739386-C138-4096-B153-3D671E741E5E}">
  <ds:schemaRefs/>
</ds:datastoreItem>
</file>

<file path=customXml/itemProps18.xml><?xml version="1.0" encoding="utf-8"?>
<ds:datastoreItem xmlns:ds="http://schemas.openxmlformats.org/officeDocument/2006/customXml" ds:itemID="{D09B213D-9BEE-4B1F-979B-D9012FC2B9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Chaudhary</dc:creator>
  <cp:lastModifiedBy>Aman Chaudhary</cp:lastModifiedBy>
  <dcterms:created xsi:type="dcterms:W3CDTF">2025-09-16T08:45:27Z</dcterms:created>
  <dcterms:modified xsi:type="dcterms:W3CDTF">2026-05-14T10:38:30Z</dcterms:modified>
</cp:coreProperties>
</file>